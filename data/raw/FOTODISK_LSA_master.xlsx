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nna Gressmann\Desktop\Reassembly\Experiments\FOTODISK\LSA data\"/>
    </mc:Choice>
  </mc:AlternateContent>
  <xr:revisionPtr revIDLastSave="0" documentId="13_ncr:1_{FDD6C168-624E-43E3-9275-E69183FF47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SA_master" sheetId="1" r:id="rId1"/>
    <sheet name="reference_data" sheetId="2" r:id="rId2"/>
    <sheet name="Plot_list" sheetId="3" r:id="rId3"/>
    <sheet name="supplementary_info" sheetId="4" r:id="rId4"/>
  </sheets>
  <definedNames>
    <definedName name="_xlnm._FilterDatabase" localSheetId="0" hidden="1">LSA_master!$A$2:$AE$2</definedName>
    <definedName name="CoeffNmolC" localSheetId="0">LSA_master!$AJ$5</definedName>
    <definedName name="CoeffNmolL" localSheetId="0">LSA_master!$AJ$4</definedName>
    <definedName name="CoeffNmolQ" localSheetId="0">LSA_master!$AJ$3</definedName>
    <definedName name="CoeffUgC" localSheetId="0">LSA_master!$AK$5</definedName>
    <definedName name="CoeffUgL" localSheetId="0">LSA_master!$AK$4</definedName>
    <definedName name="CoeffUgQ" localSheetId="0">LSA_master!$AK$3</definedName>
    <definedName name="ExterneDaten_1" localSheetId="2" hidden="1">Plot_list!$A$1:$S$26</definedName>
    <definedName name="Offset310" localSheetId="1">reference_data!$J$2</definedName>
    <definedName name="Offset365" localSheetId="1">reference_data!$K$2</definedName>
    <definedName name="Offset450" localSheetId="1">reference_data!$L$2</definedName>
    <definedName name="Offset530" localSheetId="1">reference_data!$M$2</definedName>
    <definedName name="Offset615" localSheetId="1">reference_data!$N$2</definedName>
    <definedName name="Offset700" localSheetId="0">LSA_master!#REF!</definedName>
    <definedName name="Offset770" localSheetId="0">LSA_master!$AF$3</definedName>
    <definedName name="Reference310" localSheetId="0">LSA_master!#REF!</definedName>
    <definedName name="Reference365" localSheetId="0">LSA_master!#REF!</definedName>
    <definedName name="Reference450" localSheetId="0">LSA_master!#REF!</definedName>
    <definedName name="Reference530" localSheetId="0">LSA_master!#REF!</definedName>
    <definedName name="Reference700" localSheetId="0">LSA_master!#REF!</definedName>
    <definedName name="Reference770" localSheetId="0">LSA_master!$AF$4</definedName>
    <definedName name="StandardF310" localSheetId="0">LSA_master!$Y$4</definedName>
    <definedName name="StandardF365" localSheetId="0">LSA_master!$Z$4</definedName>
    <definedName name="StandardF450" localSheetId="0">LSA_master!$AA$4</definedName>
    <definedName name="StandardF530" localSheetId="0">LSA_master!$AB$4</definedName>
    <definedName name="StandardF615" localSheetId="0">LSA_master!$AC$4</definedName>
    <definedName name="StandardI310" localSheetId="1">reference_data!$J$3</definedName>
    <definedName name="StandardI365" localSheetId="1">reference_data!$K$3</definedName>
    <definedName name="StandardI450" localSheetId="1">reference_data!$L$3</definedName>
    <definedName name="StandardI530" localSheetId="1">reference_data!$M$3</definedName>
    <definedName name="StandardI615" localSheetId="1">reference_data!$N$3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4" i="1"/>
  <c r="P195" i="1"/>
  <c r="P196" i="1"/>
  <c r="P197" i="1"/>
  <c r="P198" i="1"/>
  <c r="P199" i="1"/>
  <c r="P200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1" i="1"/>
  <c r="P232" i="1"/>
  <c r="P233" i="1"/>
  <c r="P234" i="1"/>
  <c r="P235" i="1"/>
  <c r="P236" i="1"/>
  <c r="P237" i="1"/>
  <c r="P238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40" i="1"/>
  <c r="P341" i="1"/>
  <c r="P342" i="1"/>
  <c r="P343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3" i="1"/>
  <c r="S3" i="2"/>
  <c r="R3" i="2"/>
  <c r="Q3" i="2"/>
  <c r="P3" i="2"/>
  <c r="O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6A3818-BC86-4D89-BA04-5EB8D659D993}" keepAlive="1" name="Abfrage - Reassembly_Second_Phase_XP_plots_08_03_2026" description="Verbindung mit der Abfrage 'Reassembly_Second_Phase_XP_plots_08_03_2026' in der Arbeitsmappe." type="5" refreshedVersion="8" background="1" saveData="1">
    <dbPr connection="Provider=Microsoft.Mashup.OleDb.1;Data Source=$Workbook$;Location=Reassembly_Second_Phase_XP_plots_08_03_2026;Extended Properties=&quot;&quot;" command="SELECT * FROM [Reassembly_Second_Phase_XP_plots_08_03_2026]"/>
  </connection>
</connections>
</file>

<file path=xl/sharedStrings.xml><?xml version="1.0" encoding="utf-8"?>
<sst xmlns="http://schemas.openxmlformats.org/spreadsheetml/2006/main" count="3955" uniqueCount="687">
  <si>
    <t>plot_ID</t>
  </si>
  <si>
    <t>block_nr</t>
  </si>
  <si>
    <t>subblock_nr</t>
  </si>
  <si>
    <t>position_nr</t>
  </si>
  <si>
    <t>species</t>
  </si>
  <si>
    <t>species_acronym</t>
  </si>
  <si>
    <r>
      <rPr>
        <b/>
        <sz val="11"/>
        <color theme="1"/>
        <rFont val="Calibri"/>
        <family val="2"/>
        <scheme val="minor"/>
      </rPr>
      <t>Q</t>
    </r>
    <r>
      <rPr>
        <b/>
        <vertAlign val="subscript"/>
        <sz val="11"/>
        <color theme="1"/>
        <rFont val="Calibri"/>
        <family val="2"/>
        <scheme val="minor"/>
      </rPr>
      <t>310</t>
    </r>
  </si>
  <si>
    <r>
      <rPr>
        <b/>
        <sz val="11"/>
        <color theme="1"/>
        <rFont val="Calibri"/>
        <family val="2"/>
        <scheme val="minor"/>
      </rPr>
      <t>Q</t>
    </r>
    <r>
      <rPr>
        <b/>
        <vertAlign val="subscript"/>
        <sz val="11"/>
        <color theme="1"/>
        <rFont val="Calibri"/>
        <family val="2"/>
        <scheme val="minor"/>
      </rPr>
      <t>365</t>
    </r>
  </si>
  <si>
    <r>
      <rPr>
        <b/>
        <sz val="11"/>
        <color theme="1"/>
        <rFont val="Calibri"/>
        <family val="2"/>
        <scheme val="minor"/>
      </rPr>
      <t>Q</t>
    </r>
    <r>
      <rPr>
        <b/>
        <vertAlign val="subscript"/>
        <sz val="11"/>
        <color theme="1"/>
        <rFont val="Calibri"/>
        <family val="2"/>
        <scheme val="minor"/>
      </rPr>
      <t>450</t>
    </r>
  </si>
  <si>
    <r>
      <rPr>
        <b/>
        <sz val="11"/>
        <color theme="1"/>
        <rFont val="Calibri"/>
        <family val="2"/>
        <scheme val="minor"/>
      </rPr>
      <t>Q</t>
    </r>
    <r>
      <rPr>
        <b/>
        <vertAlign val="subscript"/>
        <sz val="11"/>
        <color theme="1"/>
        <rFont val="Calibri"/>
        <family val="2"/>
        <scheme val="minor"/>
      </rPr>
      <t>530</t>
    </r>
  </si>
  <si>
    <r>
      <rPr>
        <b/>
        <sz val="11"/>
        <color theme="1"/>
        <rFont val="Calibri"/>
        <family val="2"/>
        <scheme val="minor"/>
      </rPr>
      <t>A</t>
    </r>
    <r>
      <rPr>
        <b/>
        <vertAlign val="subscript"/>
        <sz val="11"/>
        <color theme="1"/>
        <rFont val="Calibri"/>
        <family val="2"/>
        <scheme val="minor"/>
      </rPr>
      <t>FLAV</t>
    </r>
  </si>
  <si>
    <r>
      <rPr>
        <b/>
        <sz val="11"/>
        <color theme="1"/>
        <rFont val="Calibri"/>
        <family val="2"/>
        <scheme val="minor"/>
      </rPr>
      <t>A</t>
    </r>
    <r>
      <rPr>
        <b/>
        <vertAlign val="subscript"/>
        <sz val="11"/>
        <color theme="1"/>
        <rFont val="Calibri"/>
        <family val="2"/>
        <scheme val="minor"/>
      </rPr>
      <t>ANTH</t>
    </r>
  </si>
  <si>
    <r>
      <rPr>
        <b/>
        <sz val="11"/>
        <color theme="1"/>
        <rFont val="Calibri"/>
        <family val="2"/>
        <scheme val="minor"/>
      </rPr>
      <t>I</t>
    </r>
    <r>
      <rPr>
        <b/>
        <vertAlign val="subscript"/>
        <sz val="11"/>
        <color theme="1"/>
        <rFont val="Calibri"/>
        <family val="2"/>
        <scheme val="minor"/>
      </rPr>
      <t>700</t>
    </r>
  </si>
  <si>
    <r>
      <rPr>
        <b/>
        <sz val="11"/>
        <color theme="1"/>
        <rFont val="Calibri"/>
        <family val="2"/>
        <scheme val="minor"/>
      </rPr>
      <t>I</t>
    </r>
    <r>
      <rPr>
        <b/>
        <vertAlign val="subscript"/>
        <sz val="11"/>
        <color theme="1"/>
        <rFont val="Calibri"/>
        <family val="2"/>
        <scheme val="minor"/>
      </rPr>
      <t>770</t>
    </r>
  </si>
  <si>
    <t>Transmittance</t>
  </si>
  <si>
    <t>Absorbance</t>
  </si>
  <si>
    <t>Model</t>
  </si>
  <si>
    <r>
      <rPr>
        <b/>
        <sz val="11"/>
        <color theme="1"/>
        <rFont val="Calibri"/>
        <family val="2"/>
        <scheme val="minor"/>
      </rPr>
      <t>nmol/cm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</si>
  <si>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rPr>
        <b/>
        <sz val="11"/>
        <color theme="1"/>
        <rFont val="Calibri"/>
        <family val="2"/>
        <scheme val="minor"/>
      </rPr>
      <t>µg/cm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</si>
  <si>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NBI</t>
  </si>
  <si>
    <t>XP217-PLR</t>
  </si>
  <si>
    <t>C</t>
  </si>
  <si>
    <t>EA</t>
  </si>
  <si>
    <t>BG</t>
  </si>
  <si>
    <t>IS</t>
  </si>
  <si>
    <t>PA</t>
  </si>
  <si>
    <t>CH</t>
  </si>
  <si>
    <t>VB</t>
  </si>
  <si>
    <t>CG</t>
  </si>
  <si>
    <t>BU</t>
  </si>
  <si>
    <t>AE</t>
  </si>
  <si>
    <t>Date</t>
  </si>
  <si>
    <t>Type</t>
  </si>
  <si>
    <t>Number</t>
  </si>
  <si>
    <t>Marker</t>
  </si>
  <si>
    <r>
      <rPr>
        <b/>
        <sz val="11"/>
        <color theme="1"/>
        <rFont val="Calibri"/>
        <family val="2"/>
        <scheme val="minor"/>
      </rPr>
      <t>I</t>
    </r>
    <r>
      <rPr>
        <b/>
        <vertAlign val="subscript"/>
        <sz val="11"/>
        <color theme="1"/>
        <rFont val="Calibri"/>
        <family val="2"/>
        <scheme val="minor"/>
      </rPr>
      <t>Fo</t>
    </r>
  </si>
  <si>
    <r>
      <rPr>
        <b/>
        <sz val="11"/>
        <color theme="1"/>
        <rFont val="Calibri"/>
        <family val="2"/>
        <scheme val="minor"/>
      </rPr>
      <t>I</t>
    </r>
    <r>
      <rPr>
        <b/>
        <vertAlign val="subscript"/>
        <sz val="11"/>
        <color theme="1"/>
        <rFont val="Calibri"/>
        <family val="2"/>
        <scheme val="minor"/>
      </rPr>
      <t>Fm</t>
    </r>
  </si>
  <si>
    <r>
      <rPr>
        <b/>
        <sz val="11"/>
        <color theme="1"/>
        <rFont val="Calibri"/>
        <family val="2"/>
        <scheme val="minor"/>
      </rPr>
      <t>F</t>
    </r>
    <r>
      <rPr>
        <b/>
        <vertAlign val="subscript"/>
        <sz val="11"/>
        <color theme="1"/>
        <rFont val="Calibri"/>
        <family val="2"/>
        <scheme val="minor"/>
      </rPr>
      <t>o</t>
    </r>
  </si>
  <si>
    <r>
      <rPr>
        <b/>
        <sz val="11"/>
        <color theme="1"/>
        <rFont val="Calibri"/>
        <family val="2"/>
        <scheme val="minor"/>
      </rPr>
      <t>F</t>
    </r>
    <r>
      <rPr>
        <b/>
        <vertAlign val="subscript"/>
        <sz val="11"/>
        <color theme="1"/>
        <rFont val="Calibri"/>
        <family val="2"/>
        <scheme val="minor"/>
      </rPr>
      <t>m</t>
    </r>
  </si>
  <si>
    <r>
      <rPr>
        <b/>
        <sz val="11"/>
        <color theme="1"/>
        <rFont val="Calibri"/>
        <family val="2"/>
        <scheme val="minor"/>
      </rPr>
      <t>I</t>
    </r>
    <r>
      <rPr>
        <b/>
        <vertAlign val="subscript"/>
        <sz val="11"/>
        <color theme="1"/>
        <rFont val="Calibri"/>
        <family val="2"/>
        <scheme val="minor"/>
      </rPr>
      <t>310</t>
    </r>
  </si>
  <si>
    <r>
      <rPr>
        <b/>
        <sz val="11"/>
        <color theme="1"/>
        <rFont val="Calibri"/>
        <family val="2"/>
        <scheme val="minor"/>
      </rPr>
      <t>I</t>
    </r>
    <r>
      <rPr>
        <b/>
        <vertAlign val="subscript"/>
        <sz val="11"/>
        <color theme="1"/>
        <rFont val="Calibri"/>
        <family val="2"/>
        <scheme val="minor"/>
      </rPr>
      <t>365</t>
    </r>
  </si>
  <si>
    <r>
      <rPr>
        <b/>
        <sz val="11"/>
        <color theme="1"/>
        <rFont val="Calibri"/>
        <family val="2"/>
        <scheme val="minor"/>
      </rPr>
      <t>I</t>
    </r>
    <r>
      <rPr>
        <b/>
        <vertAlign val="subscript"/>
        <sz val="11"/>
        <color theme="1"/>
        <rFont val="Calibri"/>
        <family val="2"/>
        <scheme val="minor"/>
      </rPr>
      <t>450</t>
    </r>
  </si>
  <si>
    <r>
      <rPr>
        <b/>
        <sz val="11"/>
        <color theme="1"/>
        <rFont val="Calibri"/>
        <family val="2"/>
        <scheme val="minor"/>
      </rPr>
      <t>I</t>
    </r>
    <r>
      <rPr>
        <b/>
        <vertAlign val="subscript"/>
        <sz val="11"/>
        <color theme="1"/>
        <rFont val="Calibri"/>
        <family val="2"/>
        <scheme val="minor"/>
      </rPr>
      <t>530</t>
    </r>
  </si>
  <si>
    <r>
      <rPr>
        <b/>
        <sz val="11"/>
        <color theme="1"/>
        <rFont val="Calibri"/>
        <family val="2"/>
        <scheme val="minor"/>
      </rPr>
      <t>I</t>
    </r>
    <r>
      <rPr>
        <b/>
        <vertAlign val="subscript"/>
        <sz val="11"/>
        <color theme="1"/>
        <rFont val="Calibri"/>
        <family val="2"/>
        <scheme val="minor"/>
      </rPr>
      <t>615</t>
    </r>
  </si>
  <si>
    <r>
      <rPr>
        <b/>
        <sz val="11"/>
        <color theme="1"/>
        <rFont val="Calibri"/>
        <family val="2"/>
        <scheme val="minor"/>
      </rPr>
      <t>F</t>
    </r>
    <r>
      <rPr>
        <b/>
        <vertAlign val="subscript"/>
        <sz val="11"/>
        <color theme="1"/>
        <rFont val="Calibri"/>
        <family val="2"/>
        <scheme val="minor"/>
      </rPr>
      <t>310</t>
    </r>
  </si>
  <si>
    <r>
      <rPr>
        <b/>
        <sz val="11"/>
        <color theme="1"/>
        <rFont val="Calibri"/>
        <family val="2"/>
        <scheme val="minor"/>
      </rPr>
      <t>F</t>
    </r>
    <r>
      <rPr>
        <b/>
        <vertAlign val="subscript"/>
        <sz val="11"/>
        <color theme="1"/>
        <rFont val="Calibri"/>
        <family val="2"/>
        <scheme val="minor"/>
      </rPr>
      <t>365</t>
    </r>
  </si>
  <si>
    <r>
      <rPr>
        <b/>
        <sz val="11"/>
        <color theme="1"/>
        <rFont val="Calibri"/>
        <family val="2"/>
        <scheme val="minor"/>
      </rPr>
      <t>F</t>
    </r>
    <r>
      <rPr>
        <b/>
        <vertAlign val="subscript"/>
        <sz val="11"/>
        <color theme="1"/>
        <rFont val="Calibri"/>
        <family val="2"/>
        <scheme val="minor"/>
      </rPr>
      <t>450</t>
    </r>
  </si>
  <si>
    <r>
      <rPr>
        <b/>
        <sz val="11"/>
        <color theme="1"/>
        <rFont val="Calibri"/>
        <family val="2"/>
        <scheme val="minor"/>
      </rPr>
      <t>F</t>
    </r>
    <r>
      <rPr>
        <b/>
        <vertAlign val="subscript"/>
        <sz val="11"/>
        <color theme="1"/>
        <rFont val="Calibri"/>
        <family val="2"/>
        <scheme val="minor"/>
      </rPr>
      <t>530</t>
    </r>
  </si>
  <si>
    <r>
      <rPr>
        <b/>
        <sz val="11"/>
        <color theme="1"/>
        <rFont val="Calibri"/>
        <family val="2"/>
        <scheme val="minor"/>
      </rPr>
      <t>F</t>
    </r>
    <r>
      <rPr>
        <b/>
        <vertAlign val="subscript"/>
        <sz val="11"/>
        <color theme="1"/>
        <rFont val="Calibri"/>
        <family val="2"/>
        <scheme val="minor"/>
      </rPr>
      <t>615</t>
    </r>
  </si>
  <si>
    <r>
      <rPr>
        <b/>
        <sz val="11"/>
        <color theme="1"/>
        <rFont val="Calibri"/>
        <family val="2"/>
        <scheme val="minor"/>
      </rPr>
      <t>F</t>
    </r>
    <r>
      <rPr>
        <b/>
        <vertAlign val="subscript"/>
        <sz val="11"/>
        <color theme="1"/>
        <rFont val="Calibri"/>
        <family val="2"/>
        <scheme val="minor"/>
      </rPr>
      <t>V</t>
    </r>
    <r>
      <rPr>
        <b/>
        <sz val="11"/>
        <color theme="1"/>
        <rFont val="Calibri"/>
        <family val="2"/>
        <scheme val="minor"/>
      </rPr>
      <t>/F</t>
    </r>
    <r>
      <rPr>
        <b/>
        <vertAlign val="subscript"/>
        <sz val="11"/>
        <color theme="1"/>
        <rFont val="Calibri"/>
        <family val="2"/>
        <scheme val="minor"/>
      </rPr>
      <t>M</t>
    </r>
  </si>
  <si>
    <t>MesRef</t>
  </si>
  <si>
    <t>Offset</t>
  </si>
  <si>
    <t>C3 Coeff Q</t>
  </si>
  <si>
    <t>Reference</t>
  </si>
  <si>
    <t>Hylotelephium lower side</t>
  </si>
  <si>
    <t>C3 Coeff L</t>
  </si>
  <si>
    <t>C3 Coeff C</t>
  </si>
  <si>
    <t>Plot</t>
  </si>
  <si>
    <t>XP-217-PLR</t>
  </si>
  <si>
    <t>Elevation</t>
  </si>
  <si>
    <t>Longitude</t>
  </si>
  <si>
    <t>Latitude</t>
  </si>
  <si>
    <t>Locality</t>
  </si>
  <si>
    <t>Note</t>
  </si>
  <si>
    <t>Purchase.date</t>
  </si>
  <si>
    <t>Regeneration.year</t>
  </si>
  <si>
    <t>Age.2024</t>
  </si>
  <si>
    <t>Age.2025</t>
  </si>
  <si>
    <t>Regeneration_year</t>
  </si>
  <si>
    <t>Need.check.age</t>
  </si>
  <si>
    <t>Treatment</t>
  </si>
  <si>
    <t>Coordinates</t>
  </si>
  <si>
    <t>Elevation2</t>
  </si>
  <si>
    <t>Distance_forest_new</t>
  </si>
  <si>
    <t>Distance_edge_new</t>
  </si>
  <si>
    <t>Forest_1km_new</t>
  </si>
  <si>
    <t>Patch_ha_new</t>
  </si>
  <si>
    <t>XP201-PR</t>
  </si>
  <si>
    <t>La Yuca : Don Olivo</t>
  </si>
  <si>
    <t>New plot</t>
  </si>
  <si>
    <t>private</t>
  </si>
  <si>
    <t>na</t>
  </si>
  <si>
    <t>0</t>
  </si>
  <si>
    <t>2024</t>
  </si>
  <si>
    <t>No</t>
  </si>
  <si>
    <t>Early regeneration</t>
  </si>
  <si>
    <t>Final</t>
  </si>
  <si>
    <t>XP202-PR</t>
  </si>
  <si>
    <t>Don Velazquez</t>
  </si>
  <si>
    <t>Next To Reassembly PA54</t>
  </si>
  <si>
    <t>XP203-PR</t>
  </si>
  <si>
    <t>Casa Rosero</t>
  </si>
  <si>
    <t>Next to Reassembly PR25</t>
  </si>
  <si>
    <t>2017</t>
  </si>
  <si>
    <t>7</t>
  </si>
  <si>
    <t>8</t>
  </si>
  <si>
    <t>XP204-PR</t>
  </si>
  <si>
    <t>Next to Reassembly PR20</t>
  </si>
  <si>
    <t>2020</t>
  </si>
  <si>
    <t>2019</t>
  </si>
  <si>
    <t>5</t>
  </si>
  <si>
    <t>6</t>
  </si>
  <si>
    <t>XP205-PR</t>
  </si>
  <si>
    <t>Cedenho (Reassembly PR19)</t>
  </si>
  <si>
    <t>Next to Reassembly PR19</t>
  </si>
  <si>
    <t>2014</t>
  </si>
  <si>
    <t>XP206-PR</t>
  </si>
  <si>
    <t>Cedenho</t>
  </si>
  <si>
    <t>XP207-PR</t>
  </si>
  <si>
    <t>No te ahueves</t>
  </si>
  <si>
    <t>Next to Reassembly PR33</t>
  </si>
  <si>
    <t>2023</t>
  </si>
  <si>
    <t>4</t>
  </si>
  <si>
    <t>XP208-PR</t>
  </si>
  <si>
    <t>La Yuca</t>
  </si>
  <si>
    <t>New plot (the plot might be 1 year younger)</t>
  </si>
  <si>
    <t>2022</t>
  </si>
  <si>
    <t>Yes</t>
  </si>
  <si>
    <t>XP209-PR</t>
  </si>
  <si>
    <t>Las Vacas (Reassembly PA55)</t>
  </si>
  <si>
    <t>Next to Reassembly PA55</t>
  </si>
  <si>
    <t>1</t>
  </si>
  <si>
    <t>2</t>
  </si>
  <si>
    <t>XP210-PR</t>
  </si>
  <si>
    <t>El Puerto</t>
  </si>
  <si>
    <t>XP211-PR</t>
  </si>
  <si>
    <t>Casa del río</t>
  </si>
  <si>
    <t>3</t>
  </si>
  <si>
    <t>XP212-PR</t>
  </si>
  <si>
    <t>XP213-PR</t>
  </si>
  <si>
    <t>XP214-PR</t>
  </si>
  <si>
    <t>Caserio: El cerezo</t>
  </si>
  <si>
    <t>New plot crossing the river</t>
  </si>
  <si>
    <t>2021</t>
  </si>
  <si>
    <t>XP215-PR</t>
  </si>
  <si>
    <t>Caserio: La estación</t>
  </si>
  <si>
    <t>New plot 15-20 min away the estation</t>
  </si>
  <si>
    <t>XP216-PLR</t>
  </si>
  <si>
    <t>Chocolab (Reassembly PR26)</t>
  </si>
  <si>
    <t>Next to Reassembly PR26</t>
  </si>
  <si>
    <t>2004</t>
  </si>
  <si>
    <t>1995</t>
  </si>
  <si>
    <t>29</t>
  </si>
  <si>
    <t>30</t>
  </si>
  <si>
    <t>Late regeneration</t>
  </si>
  <si>
    <t>Chocolab (Reassembly PR24)</t>
  </si>
  <si>
    <t>Next to Reassembly PR24</t>
  </si>
  <si>
    <t>2002</t>
  </si>
  <si>
    <t>22</t>
  </si>
  <si>
    <t>23</t>
  </si>
  <si>
    <t>XP218-PLR</t>
  </si>
  <si>
    <t>La Yuca (Reassembly PR22)</t>
  </si>
  <si>
    <t>Next to Reassembly PR22</t>
  </si>
  <si>
    <t>2010</t>
  </si>
  <si>
    <t>2011</t>
  </si>
  <si>
    <t>13</t>
  </si>
  <si>
    <t>14</t>
  </si>
  <si>
    <t>XP219-PLR</t>
  </si>
  <si>
    <t>Casa del rio (Reassembly PR27)</t>
  </si>
  <si>
    <t>Next to Reassembly PR27</t>
  </si>
  <si>
    <t>1996</t>
  </si>
  <si>
    <t>28</t>
  </si>
  <si>
    <t>XP220-PLR</t>
  </si>
  <si>
    <t>Caserio:</t>
  </si>
  <si>
    <t>between (9 or 12 years)</t>
  </si>
  <si>
    <t>between 10 ad 13 years</t>
  </si>
  <si>
    <t>between 2015 or 2013</t>
  </si>
  <si>
    <t>XP221-OG</t>
  </si>
  <si>
    <t>Caserio: Moreira</t>
  </si>
  <si>
    <t>NA</t>
  </si>
  <si>
    <t>Old-Growth</t>
  </si>
  <si>
    <t>XP222-OG</t>
  </si>
  <si>
    <t>Cedenho (Reassembly OG42)</t>
  </si>
  <si>
    <t>Next to Reassembly OG42</t>
  </si>
  <si>
    <t>XP223-OG</t>
  </si>
  <si>
    <t>Finca de Dani (Reassembly OG41)</t>
  </si>
  <si>
    <t>Next to Reassembly OG41</t>
  </si>
  <si>
    <t>2025</t>
  </si>
  <si>
    <t>XP224-OG</t>
  </si>
  <si>
    <t>Casa del Medio (Reassembly OG47)</t>
  </si>
  <si>
    <t>Next to Reassembly OG47</t>
  </si>
  <si>
    <t>2008</t>
  </si>
  <si>
    <t>XP225-OG</t>
  </si>
  <si>
    <t>Casa del Medio (Reassembly OG44)</t>
  </si>
  <si>
    <t>Next to Reassembly OG44</t>
  </si>
  <si>
    <t>2000</t>
  </si>
  <si>
    <t>comments</t>
  </si>
  <si>
    <t>plot_type</t>
  </si>
  <si>
    <t>PLR</t>
  </si>
  <si>
    <t>PR</t>
  </si>
  <si>
    <t>XP-202-PR</t>
  </si>
  <si>
    <t>measurement_nr</t>
  </si>
  <si>
    <t>MC</t>
  </si>
  <si>
    <t>XP-216-PLR</t>
  </si>
  <si>
    <t>XP-205-PR</t>
  </si>
  <si>
    <t>comment</t>
  </si>
  <si>
    <t>maybe leaf confusion, check next time</t>
  </si>
  <si>
    <t>XP-222-OG</t>
  </si>
  <si>
    <t>OG</t>
  </si>
  <si>
    <t>XP-206-PR</t>
  </si>
  <si>
    <t>XP-218-PLR</t>
  </si>
  <si>
    <t>XP-208-PR</t>
  </si>
  <si>
    <t>XP-223-OG</t>
  </si>
  <si>
    <t>XP-201-PR</t>
  </si>
  <si>
    <t>XP-209-PR</t>
  </si>
  <si>
    <t>XP-207-PR</t>
  </si>
  <si>
    <t>fresh_weight_g</t>
  </si>
  <si>
    <t>dry_weight_g</t>
  </si>
  <si>
    <t>leaf_penetrometer</t>
  </si>
  <si>
    <t>nr_1</t>
  </si>
  <si>
    <t>nr_2</t>
  </si>
  <si>
    <t>nr_3</t>
  </si>
  <si>
    <t>nr_4</t>
  </si>
  <si>
    <t>mean_pen</t>
  </si>
  <si>
    <t>part of the leaf missing for weighing</t>
  </si>
  <si>
    <t>with caterpillar</t>
  </si>
  <si>
    <t>XP-219-PLR</t>
  </si>
  <si>
    <t>XP-212-PR</t>
  </si>
  <si>
    <t>XP-204-PR</t>
  </si>
  <si>
    <t>XP-203-PR</t>
  </si>
  <si>
    <t>XP-210-PR</t>
  </si>
  <si>
    <t>XP-211-PR</t>
  </si>
  <si>
    <t>XP-213-PR</t>
  </si>
  <si>
    <t>XP-224-OG</t>
  </si>
  <si>
    <t>XP-225-OG</t>
  </si>
  <si>
    <t>N/A</t>
  </si>
  <si>
    <t>48 hours dried</t>
  </si>
  <si>
    <t>over night without weighing</t>
  </si>
  <si>
    <t>XP-215-PR</t>
  </si>
  <si>
    <t>XP-214-PR</t>
  </si>
  <si>
    <t>XP-220-PLR</t>
  </si>
  <si>
    <t>XP-221-OG</t>
  </si>
  <si>
    <t>before last siembra</t>
  </si>
  <si>
    <t>after last siembra</t>
  </si>
  <si>
    <t>comment_2</t>
  </si>
  <si>
    <t>LSA measurements Miguel</t>
  </si>
  <si>
    <t>unique_code</t>
  </si>
  <si>
    <t>EA-MT1-P62</t>
  </si>
  <si>
    <t>BG-MT2-P34</t>
  </si>
  <si>
    <t>IS-MT5-P90</t>
  </si>
  <si>
    <t>PA-MT6-P47</t>
  </si>
  <si>
    <t>CH-MT5-P6</t>
  </si>
  <si>
    <t>VB-MT3-P38</t>
  </si>
  <si>
    <t>CP-MT2-P47</t>
  </si>
  <si>
    <t>EA-MT3-P35</t>
  </si>
  <si>
    <t>BG-MT4-P2</t>
  </si>
  <si>
    <t>BU-MT5-P21</t>
  </si>
  <si>
    <t>IS-MT3-P46</t>
  </si>
  <si>
    <t>BU-MT4-P66</t>
  </si>
  <si>
    <t>EA-MT5-P41</t>
  </si>
  <si>
    <t>IS-MT1-P13</t>
  </si>
  <si>
    <t>VB-MT3-P6</t>
  </si>
  <si>
    <t>CP-MT1-P40</t>
  </si>
  <si>
    <t>PA-MT7-P12</t>
  </si>
  <si>
    <t>BU-MT1-P27</t>
  </si>
  <si>
    <t>EA-MT3-P37</t>
  </si>
  <si>
    <t>AE-MT2-P90</t>
  </si>
  <si>
    <t>IS-MT5-P32</t>
  </si>
  <si>
    <t>IS-MT4-P51</t>
  </si>
  <si>
    <t>CP-MT3-P52</t>
  </si>
  <si>
    <t>BU-MT1-P10</t>
  </si>
  <si>
    <t>VB-MT4-P48</t>
  </si>
  <si>
    <t>EA-MT1-P1</t>
  </si>
  <si>
    <t>BG-MT1-P24</t>
  </si>
  <si>
    <t>CH-MT2-P64</t>
  </si>
  <si>
    <t>IS-MT1-P64</t>
  </si>
  <si>
    <t>BU-MT5-P20</t>
  </si>
  <si>
    <t>CH-MT4-P87</t>
  </si>
  <si>
    <t>VB-MT3-P46</t>
  </si>
  <si>
    <t>EA-MT4-P57</t>
  </si>
  <si>
    <t>BG-MT1-P3</t>
  </si>
  <si>
    <t>AE-MT5-P64</t>
  </si>
  <si>
    <t>CH-MT3-81</t>
  </si>
  <si>
    <t>CP-MT4-P5</t>
  </si>
  <si>
    <t>VB-MT4-P20</t>
  </si>
  <si>
    <t>BU-MT1-P1</t>
  </si>
  <si>
    <t>CP-MT2-P11</t>
  </si>
  <si>
    <t>VB-MT4-P21</t>
  </si>
  <si>
    <t>EA-MT1-P70</t>
  </si>
  <si>
    <t>BG-MT1-P67</t>
  </si>
  <si>
    <t>BU-MT2-P51</t>
  </si>
  <si>
    <t>PA-MT6-P3</t>
  </si>
  <si>
    <t>IS-MT5-P57</t>
  </si>
  <si>
    <t>BU-MT4-P55</t>
  </si>
  <si>
    <t>IS-MT5-P36</t>
  </si>
  <si>
    <t>PA-MT3-P100</t>
  </si>
  <si>
    <t>EA-MT3-P5</t>
  </si>
  <si>
    <t>VB-MT2-P45</t>
  </si>
  <si>
    <t>CH-MT3-P20</t>
  </si>
  <si>
    <t>CP-MT2-P68</t>
  </si>
  <si>
    <t>EA-MT2-P12</t>
  </si>
  <si>
    <t>BG-MT2-P5</t>
  </si>
  <si>
    <t>BU-MT2-P24</t>
  </si>
  <si>
    <t>BU-MT5-P32</t>
  </si>
  <si>
    <t>IS-MT4-P40</t>
  </si>
  <si>
    <t>BG-MT1-P37</t>
  </si>
  <si>
    <t>CP-MT5-P22</t>
  </si>
  <si>
    <t>EA-MT4-P32</t>
  </si>
  <si>
    <t>PA-MT7-P35</t>
  </si>
  <si>
    <t>BG-MT3-P38</t>
  </si>
  <si>
    <t>CH-MT4-P44</t>
  </si>
  <si>
    <t>CP-MT2-P40</t>
  </si>
  <si>
    <t>IS-MT1-P43</t>
  </si>
  <si>
    <t>BU-MT5-P30</t>
  </si>
  <si>
    <t>CP-MT5-P58</t>
  </si>
  <si>
    <t>BG-MT2-P88</t>
  </si>
  <si>
    <t>VB-MT1-P45</t>
  </si>
  <si>
    <t>IS-MT1-P54</t>
  </si>
  <si>
    <t>EA-MT2-P35</t>
  </si>
  <si>
    <t>MC-MT1-P66</t>
  </si>
  <si>
    <t>CP-MT3-P16</t>
  </si>
  <si>
    <t>VB-MT2-P71</t>
  </si>
  <si>
    <t>IS-MT4-P21</t>
  </si>
  <si>
    <t>BU-MT4-P37</t>
  </si>
  <si>
    <t>PA-MT7-P25</t>
  </si>
  <si>
    <t>BG-MT1-P81</t>
  </si>
  <si>
    <t>MC-MT1-P82</t>
  </si>
  <si>
    <t>IS-MT4-P19</t>
  </si>
  <si>
    <t>CP-MT1-P14</t>
  </si>
  <si>
    <t>VB-MT5-P37</t>
  </si>
  <si>
    <t>BG-MT3-P40</t>
  </si>
  <si>
    <t>EA-MT1-P82</t>
  </si>
  <si>
    <t>PA-MT6-P23</t>
  </si>
  <si>
    <t>AE-MT1-P38</t>
  </si>
  <si>
    <t>EA-MT2-P7</t>
  </si>
  <si>
    <t>VB-MT4-P7</t>
  </si>
  <si>
    <t>IS-MT1-P32</t>
  </si>
  <si>
    <t>BU-MT5-P39</t>
  </si>
  <si>
    <t>EA-MT2-P34</t>
  </si>
  <si>
    <t>BG-MT1-P94</t>
  </si>
  <si>
    <t>EA-MT1-P33</t>
  </si>
  <si>
    <t>BU-MT5-P48</t>
  </si>
  <si>
    <t>VB-MT4-P9</t>
  </si>
  <si>
    <t>CP-MT1-P28</t>
  </si>
  <si>
    <t>EA-MT3-P12</t>
  </si>
  <si>
    <t>BU-MT1-P41</t>
  </si>
  <si>
    <t>BG-MT3-P80</t>
  </si>
  <si>
    <t>PA-MT3-P43</t>
  </si>
  <si>
    <t>PA-MT6-P14</t>
  </si>
  <si>
    <t>EA-MT5-P32</t>
  </si>
  <si>
    <t>CP-MT2-P15</t>
  </si>
  <si>
    <t>VB-MT5-P34</t>
  </si>
  <si>
    <t>MC-MT2-P36</t>
  </si>
  <si>
    <t>BG-MT1-P46</t>
  </si>
  <si>
    <t>CH-MT4-P15</t>
  </si>
  <si>
    <t>VB-MT2-P54</t>
  </si>
  <si>
    <t>MC-MT1-P74</t>
  </si>
  <si>
    <t>BU-MT4-P77</t>
  </si>
  <si>
    <t>EA-MT1-P66</t>
  </si>
  <si>
    <t>MC-MT3-P69</t>
  </si>
  <si>
    <t>CP-MT2-P60</t>
  </si>
  <si>
    <t>BG-MT1-P8</t>
  </si>
  <si>
    <t>CH-MT5-P39</t>
  </si>
  <si>
    <t>PA-MT6-P33</t>
  </si>
  <si>
    <t>VB-MT4-P4</t>
  </si>
  <si>
    <t>EA-MT3-P55</t>
  </si>
  <si>
    <t>BG-MT1-P15</t>
  </si>
  <si>
    <t>IS-MT5-P50</t>
  </si>
  <si>
    <t>IS-MT1-P24</t>
  </si>
  <si>
    <t>VB-MT4-P27</t>
  </si>
  <si>
    <t>EA-MT1-P56</t>
  </si>
  <si>
    <t>MC-MT3-P13</t>
  </si>
  <si>
    <t>CP-MT5-P9</t>
  </si>
  <si>
    <t>BU-MT5-P35</t>
  </si>
  <si>
    <t>MC-MT2-P2</t>
  </si>
  <si>
    <t>BG-MT1-P25</t>
  </si>
  <si>
    <t>IS-MT4-P62</t>
  </si>
  <si>
    <t>VB-MT5-P59</t>
  </si>
  <si>
    <t>EA-MT1-P84</t>
  </si>
  <si>
    <t>BU-MT3-P37</t>
  </si>
  <si>
    <t>AE-MT1-P66</t>
  </si>
  <si>
    <t>PA-MT7-P61</t>
  </si>
  <si>
    <t>VB-MT1-P3</t>
  </si>
  <si>
    <t>EA-MT3-P13</t>
  </si>
  <si>
    <t>IS-MT3-P36</t>
  </si>
  <si>
    <t>CH-MT3-P61</t>
  </si>
  <si>
    <t>BU-MT4-P3</t>
  </si>
  <si>
    <t>EA-MT5-P19</t>
  </si>
  <si>
    <t>BU-MT5-P56</t>
  </si>
  <si>
    <t>VB-MT5-P58</t>
  </si>
  <si>
    <t>PA-MT6-P16</t>
  </si>
  <si>
    <t>IS-MT5-P18</t>
  </si>
  <si>
    <t>BG-MT4-P9</t>
  </si>
  <si>
    <t>MC-MT2-P57</t>
  </si>
  <si>
    <t>CP-MT5-P59</t>
  </si>
  <si>
    <t>VB-MT3-P25</t>
  </si>
  <si>
    <t>EA-MT1-P32</t>
  </si>
  <si>
    <t>IS-MT1-P44</t>
  </si>
  <si>
    <t>CP-MT5-P21</t>
  </si>
  <si>
    <t>BG-MT3-P31</t>
  </si>
  <si>
    <t>CH-MT4-P77</t>
  </si>
  <si>
    <t>PA-MT7-P50</t>
  </si>
  <si>
    <t>MC-MT3-P22</t>
  </si>
  <si>
    <t>IS-MT3-P19</t>
  </si>
  <si>
    <t>EA-MT5-P77</t>
  </si>
  <si>
    <t>BG-MT5-P48</t>
  </si>
  <si>
    <t>CH-MT2-P47</t>
  </si>
  <si>
    <t>VB-MT5-P6</t>
  </si>
  <si>
    <t>VB-MT2-P33</t>
  </si>
  <si>
    <t>AE-MT3-P65</t>
  </si>
  <si>
    <t>IS-MT4-P2</t>
  </si>
  <si>
    <t>EA-MT1-P22</t>
  </si>
  <si>
    <t>BU-MT5-P14</t>
  </si>
  <si>
    <t>VB-MT2-P8</t>
  </si>
  <si>
    <t>AE-MT4-P62</t>
  </si>
  <si>
    <t>MC-MT3-P26</t>
  </si>
  <si>
    <t>CP-MT1-P17</t>
  </si>
  <si>
    <t>PA-MT6-P68</t>
  </si>
  <si>
    <t>EA-MT2-P55</t>
  </si>
  <si>
    <t>BG-MT3-P37</t>
  </si>
  <si>
    <t>BU-MT2-P22</t>
  </si>
  <si>
    <t>VB-MT3-P63</t>
  </si>
  <si>
    <t>CP-MT1-P23</t>
  </si>
  <si>
    <t>EA-MT5-P23</t>
  </si>
  <si>
    <t>BU-MT1-P53</t>
  </si>
  <si>
    <t>AE-MT2-P67</t>
  </si>
  <si>
    <t>EA-MT5-P85</t>
  </si>
  <si>
    <t>MC-MT1-P38</t>
  </si>
  <si>
    <t>VB-MT5-P26</t>
  </si>
  <si>
    <t>MC-MT2-P53</t>
  </si>
  <si>
    <t>EA-MT3-P9</t>
  </si>
  <si>
    <t>IS-MT5-P26</t>
  </si>
  <si>
    <t>BG-MT2-P9</t>
  </si>
  <si>
    <t>PA-MT7-P54</t>
  </si>
  <si>
    <t>BU-MT5-P6</t>
  </si>
  <si>
    <t>CP-MT5-P66</t>
  </si>
  <si>
    <t>BU-MT4-P78</t>
  </si>
  <si>
    <t>VB-MT3-P12</t>
  </si>
  <si>
    <t>MC-MT2-P11</t>
  </si>
  <si>
    <t>BG-MT3-P21</t>
  </si>
  <si>
    <t>Banara guianensis</t>
  </si>
  <si>
    <t>PA-MT6-P30</t>
  </si>
  <si>
    <t>Piper aduncum</t>
  </si>
  <si>
    <t>IS-MT4-P56</t>
  </si>
  <si>
    <t>Inga silanchensis</t>
  </si>
  <si>
    <t>CH-MT4-P61</t>
  </si>
  <si>
    <t>Cecropia hispidissima</t>
  </si>
  <si>
    <t>CP-MT1-P46</t>
  </si>
  <si>
    <t>Carapa guianensis</t>
  </si>
  <si>
    <t>VB-MT5-P12</t>
  </si>
  <si>
    <t>Vismia baccifera</t>
  </si>
  <si>
    <t>MC-MT1-P6</t>
  </si>
  <si>
    <t>Miconia conocuatrecasasii</t>
  </si>
  <si>
    <t>EA-MT5-P82</t>
  </si>
  <si>
    <t>Ecuadendron acosta-solisianum</t>
  </si>
  <si>
    <t>IS-MT1-P57</t>
  </si>
  <si>
    <t>EA-MT5-P71</t>
  </si>
  <si>
    <t>CP-MT5-P13</t>
  </si>
  <si>
    <t>VB-MT2-P62</t>
  </si>
  <si>
    <t>EA-MT2-P33</t>
  </si>
  <si>
    <t>BU-MT3-P31</t>
  </si>
  <si>
    <t>Brosimum utile</t>
  </si>
  <si>
    <t>PA-MT3-P38</t>
  </si>
  <si>
    <t>BG-MT3-P15</t>
  </si>
  <si>
    <t>CP-MT5-P6</t>
  </si>
  <si>
    <t>IS-MT4-P8</t>
  </si>
  <si>
    <t>VB-MT2-P100</t>
  </si>
  <si>
    <t>CH-MT3-P59</t>
  </si>
  <si>
    <t>CH-MT5-P85</t>
  </si>
  <si>
    <t>MC-MT2-P50</t>
  </si>
  <si>
    <t>BG-MT1-P66</t>
  </si>
  <si>
    <t>IS-MT3-P49</t>
  </si>
  <si>
    <t>EA-MT5-P21</t>
  </si>
  <si>
    <t>VB-MT2-P63</t>
  </si>
  <si>
    <t>CP-MT3-P60</t>
  </si>
  <si>
    <t>BU-MT3-P21</t>
  </si>
  <si>
    <t>MC-MT2-P46</t>
  </si>
  <si>
    <t>IS-MT2-P8</t>
  </si>
  <si>
    <t>CP-MT4-P19</t>
  </si>
  <si>
    <t>BG-MT2-P92</t>
  </si>
  <si>
    <t>VB-MT3-P45</t>
  </si>
  <si>
    <t>EA-MT1-P72</t>
  </si>
  <si>
    <t>VB-MT4-P49</t>
  </si>
  <si>
    <t>PA-MT7-P57</t>
  </si>
  <si>
    <t>IS-MT5-P51</t>
  </si>
  <si>
    <t>EA-MT2-P13</t>
  </si>
  <si>
    <t>MC-MT3-P63</t>
  </si>
  <si>
    <t>CP-MT1-P54</t>
  </si>
  <si>
    <t>BG-MT5-P43</t>
  </si>
  <si>
    <t>BU-MT3-P14</t>
  </si>
  <si>
    <t>IS-MT1-P38</t>
  </si>
  <si>
    <t>VB-MT4-P46</t>
  </si>
  <si>
    <t>CH-MT1-P30</t>
  </si>
  <si>
    <t>EA-MT1-P10</t>
  </si>
  <si>
    <t>MC-MT3-P27</t>
  </si>
  <si>
    <t>BG-MT4-P4</t>
  </si>
  <si>
    <t>IS-MT3-P42</t>
  </si>
  <si>
    <t>EA-MT2-P48</t>
  </si>
  <si>
    <t>VB-MT1-P44</t>
  </si>
  <si>
    <t>BG-MT5-P69</t>
  </si>
  <si>
    <t>PA-MT7-P37</t>
  </si>
  <si>
    <t>CP-MT2-P3</t>
  </si>
  <si>
    <t>CH-MT5-P1</t>
  </si>
  <si>
    <t>VB-MT1-P40</t>
  </si>
  <si>
    <t>BG-MT1-P72</t>
  </si>
  <si>
    <t>EA-MT1-P29</t>
  </si>
  <si>
    <t>EA-MT1-P94</t>
  </si>
  <si>
    <t>CP-MT3-P29</t>
  </si>
  <si>
    <t>PA-MT7-P34</t>
  </si>
  <si>
    <t>IS-MT4-P44</t>
  </si>
  <si>
    <t>MC-MT3-P34</t>
  </si>
  <si>
    <t>CH-MT5-P58</t>
  </si>
  <si>
    <t>VB-MT5-P10</t>
  </si>
  <si>
    <t>BU-MT1-P23</t>
  </si>
  <si>
    <t>VB-MT2-P3</t>
  </si>
  <si>
    <t>EA-MT2-P15</t>
  </si>
  <si>
    <t>MC-MT2-P13</t>
  </si>
  <si>
    <t>BG-MT3-P22</t>
  </si>
  <si>
    <t>PA-MT7-P20</t>
  </si>
  <si>
    <t>BG-MT4-P24</t>
  </si>
  <si>
    <t>CP-MT4-P36</t>
  </si>
  <si>
    <t>VB-MT2-P35</t>
  </si>
  <si>
    <t>PA-MT6-P65</t>
  </si>
  <si>
    <t>IS-MT3-P52</t>
  </si>
  <si>
    <t>EA-MT5-P62</t>
  </si>
  <si>
    <t>VB-MT4-P6</t>
  </si>
  <si>
    <t>MC-MT3-P6</t>
  </si>
  <si>
    <t>IS-MT2-P20</t>
  </si>
  <si>
    <t>EA-MT4-P64</t>
  </si>
  <si>
    <t>BG-MT4-P13</t>
  </si>
  <si>
    <t>PA-MT7-P32</t>
  </si>
  <si>
    <t>CP-MT1-P49</t>
  </si>
  <si>
    <t>BU-MT4-P4</t>
  </si>
  <si>
    <t>IS-MT1-P21</t>
  </si>
  <si>
    <t>VB-MT5-P14</t>
  </si>
  <si>
    <t>MC-MT1-P21</t>
  </si>
  <si>
    <t>EA-MT3-P21</t>
  </si>
  <si>
    <t>BU-MT3-P74</t>
  </si>
  <si>
    <t>BG-MT4-P41</t>
  </si>
  <si>
    <t>IS-MT5-P68</t>
  </si>
  <si>
    <t>CP-MT3-P19</t>
  </si>
  <si>
    <t>EA-MT2-P23</t>
  </si>
  <si>
    <t>VB-MT1-P22</t>
  </si>
  <si>
    <t>BU-MT2-P7</t>
  </si>
  <si>
    <t>BG-MT5-P45</t>
  </si>
  <si>
    <t>BU-MT1-P25</t>
  </si>
  <si>
    <t>CP-MT4-P63</t>
  </si>
  <si>
    <t>VB-MT3-P93</t>
  </si>
  <si>
    <t>CP-MT5-P32</t>
  </si>
  <si>
    <t>EA-MT5-P31</t>
  </si>
  <si>
    <t>CH-MT4-P70</t>
  </si>
  <si>
    <t>VB-MT3-P43</t>
  </si>
  <si>
    <t>CH-MT1-P24</t>
  </si>
  <si>
    <t>EA-MT5-P14</t>
  </si>
  <si>
    <t>AE-MT2-P52</t>
  </si>
  <si>
    <t>Annona edulis</t>
  </si>
  <si>
    <t>IS-MT5-P9</t>
  </si>
  <si>
    <t>VB-MT1-P33</t>
  </si>
  <si>
    <t>MC-MT3-P38</t>
  </si>
  <si>
    <t>PA-MT7-P8</t>
  </si>
  <si>
    <t>CH-MT4-P84</t>
  </si>
  <si>
    <t>CP-MT2-P31</t>
  </si>
  <si>
    <t>BU-MT2-P12</t>
  </si>
  <si>
    <t>EA-MT2-P26</t>
  </si>
  <si>
    <t>MC-MT2-P59</t>
  </si>
  <si>
    <t>BG-MT1-P39</t>
  </si>
  <si>
    <t>IS-MT1-P7</t>
  </si>
  <si>
    <t>VB-MT1-P43</t>
  </si>
  <si>
    <t>AE-MT5-P56</t>
  </si>
  <si>
    <t>IS-MT4-P37</t>
  </si>
  <si>
    <t>CH-MT2-P14</t>
  </si>
  <si>
    <t>BU-MT4-P61</t>
  </si>
  <si>
    <t>VB-MT2-P68</t>
  </si>
  <si>
    <t>CP-MT3-P4</t>
  </si>
  <si>
    <t>BG-MT3-P32</t>
  </si>
  <si>
    <t>EA-MT5-P18</t>
  </si>
  <si>
    <t>BU-MT4-P20</t>
  </si>
  <si>
    <t>EA-MT3-P1</t>
  </si>
  <si>
    <t>BG-MT2-P59</t>
  </si>
  <si>
    <t>CP-MT2-P33</t>
  </si>
  <si>
    <t>IS-MT3-P41</t>
  </si>
  <si>
    <t>CH-MT2-P66</t>
  </si>
  <si>
    <t>VB-MT5-P71</t>
  </si>
  <si>
    <t>IS-MT5-P83</t>
  </si>
  <si>
    <t>VB-MT3-P37</t>
  </si>
  <si>
    <t>MC-MT3-P39</t>
  </si>
  <si>
    <t>CH-MT2-P8</t>
  </si>
  <si>
    <t>CP-MT1-P37</t>
  </si>
  <si>
    <t>BU-MT1-P30</t>
  </si>
  <si>
    <t>EA-MT5-P27</t>
  </si>
  <si>
    <t>PA-MT6-P73</t>
  </si>
  <si>
    <t>BU-MT2-P46</t>
  </si>
  <si>
    <t>IS-MT5-P1</t>
  </si>
  <si>
    <t>EA-MT5-P79</t>
  </si>
  <si>
    <t>VB-MT1-P50</t>
  </si>
  <si>
    <t>BG-MT1-P83</t>
  </si>
  <si>
    <t>PA-MT6-P92</t>
  </si>
  <si>
    <t>CH-MT2-P59</t>
  </si>
  <si>
    <t>CH-MT4-P94</t>
  </si>
  <si>
    <t>IS-MT1-P33</t>
  </si>
  <si>
    <t>BG-MT3-P16</t>
  </si>
  <si>
    <t>BU-MT4-P14</t>
  </si>
  <si>
    <t>MC-MT1-P68</t>
  </si>
  <si>
    <t>VB-MT4-P70</t>
  </si>
  <si>
    <t>MC-MT1-P52</t>
  </si>
  <si>
    <t>IS-MT1-P17</t>
  </si>
  <si>
    <t>VB-MT5-P50</t>
  </si>
  <si>
    <t>PA-MT6-P6</t>
  </si>
  <si>
    <t>BG-MT2-P62</t>
  </si>
  <si>
    <t>EA-MT1-P26</t>
  </si>
  <si>
    <t>CP-MT5-P16</t>
  </si>
  <si>
    <t>CP-MT2-P6</t>
  </si>
  <si>
    <t>IS-MT1-P35</t>
  </si>
  <si>
    <t>VB-MT3-P44</t>
  </si>
  <si>
    <t>BG-MT5-P88</t>
  </si>
  <si>
    <t>BU-MT4-P8</t>
  </si>
  <si>
    <t>EA-MT4-P53</t>
  </si>
  <si>
    <t>CH-MT4-P96</t>
  </si>
  <si>
    <t>MC-MT1-P29</t>
  </si>
  <si>
    <t>VB-MT2-P65</t>
  </si>
  <si>
    <t>CP-MT2-P9</t>
  </si>
  <si>
    <t>BG-MT3-P70</t>
  </si>
  <si>
    <t>EA-MT1-P98</t>
  </si>
  <si>
    <t>CH-MT5-P16</t>
  </si>
  <si>
    <t>BU-MT4-P48</t>
  </si>
  <si>
    <t>IS-MT3-P25</t>
  </si>
  <si>
    <t>VB-MT1-P46</t>
  </si>
  <si>
    <t>CP-MT4-P47</t>
  </si>
  <si>
    <t>EA-MT5-P13</t>
  </si>
  <si>
    <t>CH-MT4-P83</t>
  </si>
  <si>
    <t>PA-MT6-P69</t>
  </si>
  <si>
    <t>IS-MT2-P23</t>
  </si>
  <si>
    <t>BG-MT1-P97</t>
  </si>
  <si>
    <t>CP-MT1-P20</t>
  </si>
  <si>
    <t>IS-MT4-P18</t>
  </si>
  <si>
    <t>BG-MT3-P55</t>
  </si>
  <si>
    <t>BU-MT4-P64</t>
  </si>
  <si>
    <t>VB-MT2-P7</t>
  </si>
  <si>
    <t>EA-MT2-P38</t>
  </si>
  <si>
    <t>IS-MT1-P26</t>
  </si>
  <si>
    <t>EA-MT1-P59</t>
  </si>
  <si>
    <t>CP-MT3-P38</t>
  </si>
  <si>
    <t>VB-MT2-P57</t>
  </si>
  <si>
    <t>BG-MT2-P79</t>
  </si>
  <si>
    <t>PA-MT7-P47</t>
  </si>
  <si>
    <t>CH-MT2-P28</t>
  </si>
  <si>
    <t>BG-MT1-P100</t>
  </si>
  <si>
    <t>EA-MT1-P16</t>
  </si>
  <si>
    <t>IS-MT5-P52</t>
  </si>
  <si>
    <t>BU-MT3-P11</t>
  </si>
  <si>
    <t>IS-MT5-P82</t>
  </si>
  <si>
    <t>EA-MT2-P2</t>
  </si>
  <si>
    <t>VB-MT4-P35</t>
  </si>
  <si>
    <t>BG-MT4-P57</t>
  </si>
  <si>
    <t>CH-MT5-P25</t>
  </si>
  <si>
    <t>BU-MT1-P70</t>
  </si>
  <si>
    <t>EA-MT2-P1</t>
  </si>
  <si>
    <t>BG-MT5-P1</t>
  </si>
  <si>
    <t>IS-MT1-P4</t>
  </si>
  <si>
    <t>PA-MT6-P1</t>
  </si>
  <si>
    <t>MC-MT2-P24</t>
  </si>
  <si>
    <t>IS-MT4-P33</t>
  </si>
  <si>
    <t>VB-MT5-P43</t>
  </si>
  <si>
    <t>CH-MT4-P9</t>
  </si>
  <si>
    <t>MC-MT3-P59</t>
  </si>
  <si>
    <t>CP-MT2-P55</t>
  </si>
  <si>
    <t>EA-MT5-P47</t>
  </si>
  <si>
    <t>BG-MT3-P66</t>
  </si>
  <si>
    <t>IS-MT1-P29</t>
  </si>
  <si>
    <t>BU-MT2-P26</t>
  </si>
  <si>
    <t>CP-MT2-P65</t>
  </si>
  <si>
    <t>VB-MT5-P54</t>
  </si>
  <si>
    <t>EA-MT5-P43</t>
  </si>
  <si>
    <t>PA-MT7-P13</t>
  </si>
  <si>
    <t>CH-MT3-P69</t>
  </si>
  <si>
    <t>EA-MT4-P26</t>
  </si>
  <si>
    <t>CH-MT2-P43</t>
  </si>
  <si>
    <t>VB-MT1-P4</t>
  </si>
  <si>
    <t>BU-MT3-P54</t>
  </si>
  <si>
    <t>CP-MT3-P39</t>
  </si>
  <si>
    <t>IS-MT3-P40</t>
  </si>
  <si>
    <t>CH-MT3-P3</t>
  </si>
  <si>
    <t>BG-MT2-P78</t>
  </si>
  <si>
    <t>MC-MT1-P9</t>
  </si>
  <si>
    <t>summary</t>
  </si>
  <si>
    <t>leaf fresh weight ~4h after harvest</t>
  </si>
  <si>
    <t>leaf dry weight after 24 hours at 40°C</t>
  </si>
  <si>
    <t>mean of 4 measurements with the leaf penetrometer to determine leaf toughness</t>
  </si>
  <si>
    <t>measurements on individual leaves of T-REX plants from 11.06.-18-07.2026. Optical measurements were performed with the LSA-2050</t>
  </si>
  <si>
    <t>UV-A screening by epidermally stored pigments</t>
  </si>
  <si>
    <t>transmittance at 530 nm</t>
  </si>
  <si>
    <t>**see LSA manual for accurate description of measuring principles</t>
  </si>
  <si>
    <t>transmittance at 450 nm</t>
  </si>
  <si>
    <t>transmittance at 365 nm</t>
  </si>
  <si>
    <t>transmittance at 310 nm</t>
  </si>
  <si>
    <t>derived from transmittance at 530 nm</t>
  </si>
  <si>
    <t>leaf chlorophyll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</si>
</sst>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NumberFormat="1"/>
    <xf numFmtId="0" fontId="6" fillId="0" borderId="0" xfId="0" applyFont="1" applyFill="1"/>
    <xf numFmtId="0" fontId="0" fillId="0" borderId="0" xfId="0" applyFont="1"/>
    <xf numFmtId="0" fontId="0" fillId="2" borderId="0" xfId="0" applyFill="1"/>
    <xf numFmtId="0" fontId="7" fillId="0" borderId="0" xfId="0" applyFont="1" applyAlignment="1">
      <alignment horizontal="center"/>
    </xf>
    <xf numFmtId="0" fontId="0" fillId="3" borderId="0" xfId="0" applyFill="1"/>
    <xf numFmtId="0" fontId="5" fillId="3" borderId="0" xfId="0" applyFont="1" applyFill="1"/>
    <xf numFmtId="0" fontId="6" fillId="3" borderId="0" xfId="0" applyFont="1" applyFill="1"/>
  </cellXfs>
  <cellStyles count="1">
    <cellStyle name="Standard" xfId="0" builtinId="0"/>
  </cellStyles>
  <dxfs count="2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1101353-2DC7-4ADC-A7EE-F131B441875B}" autoFormatId="16" applyNumberFormats="0" applyBorderFormats="0" applyFontFormats="0" applyPatternFormats="0" applyAlignmentFormats="0" applyWidthHeightFormats="0">
  <queryTableRefresh nextId="24" unboundColumnsRight="1">
    <queryTableFields count="20">
      <queryTableField id="1" name="Plot" tableColumnId="1"/>
      <queryTableField id="2" name="Elevation" tableColumnId="2"/>
      <queryTableField id="3" name="Longitude" tableColumnId="3"/>
      <queryTableField id="4" name="Latitude" tableColumnId="4"/>
      <queryTableField id="5" name="Locality" tableColumnId="5"/>
      <queryTableField id="6" name="Note" tableColumnId="6"/>
      <queryTableField id="7" name="Purchase.date" tableColumnId="7"/>
      <queryTableField id="8" name="Regeneration.year" tableColumnId="8"/>
      <queryTableField id="9" name="Age.2024" tableColumnId="9"/>
      <queryTableField id="10" name="Age.2025" tableColumnId="10"/>
      <queryTableField id="11" name="Regeneration_year" tableColumnId="11"/>
      <queryTableField id="12" name="Need.check.age" tableColumnId="12"/>
      <queryTableField id="13" name="Treatment" tableColumnId="13"/>
      <queryTableField id="14" name="Coordinates" tableColumnId="14"/>
      <queryTableField id="15" name="Elevation2" tableColumnId="15"/>
      <queryTableField id="16" name="Distance_forest_new" tableColumnId="16"/>
      <queryTableField id="17" name="Distance_edge_new" tableColumnId="17"/>
      <queryTableField id="18" name="Forest_1km_new" tableColumnId="18"/>
      <queryTableField id="19" name="Patch_ha_new" tableColumnId="19"/>
      <queryTableField id="23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C043FF-32F7-4428-93CF-C8D5BCCA466B}" name="Reassembly_Second_Phase_XP_plots_08_03_2026" displayName="Reassembly_Second_Phase_XP_plots_08_03_2026" ref="A1:T26" tableType="queryTable" totalsRowShown="0" dataDxfId="20">
  <autoFilter ref="A1:T26" xr:uid="{ABC043FF-32F7-4428-93CF-C8D5BCCA466B}"/>
  <tableColumns count="20">
    <tableColumn id="1" xr3:uid="{2375EC70-5F60-4034-876A-E1F74324D120}" uniqueName="1" name="Plot" queryTableFieldId="1" dataDxfId="19"/>
    <tableColumn id="2" xr3:uid="{48DC89B6-86FA-4429-ACB4-2540B2716D22}" uniqueName="2" name="Elevation" queryTableFieldId="2" dataDxfId="18"/>
    <tableColumn id="3" xr3:uid="{5D782BE6-C68F-4BB1-88EE-421174302ACF}" uniqueName="3" name="Longitude" queryTableFieldId="3" dataDxfId="17"/>
    <tableColumn id="4" xr3:uid="{AF27ADF1-5FCB-4955-A2D9-2E1CC72C2C0C}" uniqueName="4" name="Latitude" queryTableFieldId="4" dataDxfId="16"/>
    <tableColumn id="5" xr3:uid="{7497753A-812D-42E2-A24E-7F179E69B1D4}" uniqueName="5" name="Locality" queryTableFieldId="5" dataDxfId="15"/>
    <tableColumn id="6" xr3:uid="{8FFF56C8-537A-45F2-AAA1-8E2D1731D0D5}" uniqueName="6" name="Note" queryTableFieldId="6" dataDxfId="14"/>
    <tableColumn id="7" xr3:uid="{D30AF8AB-D140-47B0-A0D2-1D3F2C5319E7}" uniqueName="7" name="Purchase.date" queryTableFieldId="7" dataDxfId="13"/>
    <tableColumn id="8" xr3:uid="{EFEADA41-0AFC-421B-8053-7A00143490BE}" uniqueName="8" name="Regeneration.year" queryTableFieldId="8" dataDxfId="12"/>
    <tableColumn id="9" xr3:uid="{3560EC61-4933-4044-A4C5-1279F7B46F3B}" uniqueName="9" name="Age.2024" queryTableFieldId="9" dataDxfId="11"/>
    <tableColumn id="10" xr3:uid="{E32893DD-D0A3-445F-ABFD-E975A8E82FF7}" uniqueName="10" name="Age.2025" queryTableFieldId="10" dataDxfId="10"/>
    <tableColumn id="11" xr3:uid="{A6D04C65-C01B-4973-A2DA-49ADF2C4F7A9}" uniqueName="11" name="Regeneration_year" queryTableFieldId="11" dataDxfId="9"/>
    <tableColumn id="12" xr3:uid="{0DCB097F-2E1C-4E2D-AC09-2EE4CF58E40A}" uniqueName="12" name="Need.check.age" queryTableFieldId="12" dataDxfId="8"/>
    <tableColumn id="13" xr3:uid="{9A053A85-8255-4B62-AA63-F3F554E80611}" uniqueName="13" name="Treatment" queryTableFieldId="13" dataDxfId="7"/>
    <tableColumn id="14" xr3:uid="{408EDC6B-6AAD-4187-97D2-12C57DD3050E}" uniqueName="14" name="Coordinates" queryTableFieldId="14" dataDxfId="6"/>
    <tableColumn id="15" xr3:uid="{48E13F2B-F278-420A-9FE1-85CA00F382DB}" uniqueName="15" name="Elevation2" queryTableFieldId="15" dataDxfId="5"/>
    <tableColumn id="16" xr3:uid="{389E28CF-DE7B-4865-AB14-FE45CBB4BFF8}" uniqueName="16" name="Distance_forest_new" queryTableFieldId="16" dataDxfId="4"/>
    <tableColumn id="17" xr3:uid="{AF7D2D0C-EF65-4294-B975-C9EF84593C18}" uniqueName="17" name="Distance_edge_new" queryTableFieldId="17" dataDxfId="3"/>
    <tableColumn id="18" xr3:uid="{82CAED57-CCCA-4A40-9AF9-E3BEABC7B302}" uniqueName="18" name="Forest_1km_new" queryTableFieldId="18" dataDxfId="2"/>
    <tableColumn id="19" xr3:uid="{0E682692-F9B3-4CC8-880A-8AAFCF395542}" uniqueName="19" name="Patch_ha_new" queryTableFieldId="19" dataDxfId="1"/>
    <tableColumn id="20" xr3:uid="{B8A588CD-DCE0-4180-8917-4FF3ECAC0541}" uniqueName="20" name="comments" queryTableFieldId="2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44"/>
  <sheetViews>
    <sheetView tabSelected="1" workbookViewId="0">
      <pane xSplit="2" ySplit="2" topLeftCell="M538" activePane="bottomRight" state="frozen"/>
      <selection pane="topRight" activeCell="C1" sqref="C1"/>
      <selection pane="bottomLeft" activeCell="A3" sqref="A3"/>
      <selection pane="bottomRight" activeCell="AB2" sqref="AB2:AC2"/>
    </sheetView>
  </sheetViews>
  <sheetFormatPr baseColWidth="10" defaultColWidth="8.88671875" defaultRowHeight="14.4" x14ac:dyDescent="0.3"/>
  <cols>
    <col min="2" max="3" width="11.6640625" customWidth="1"/>
    <col min="4" max="4" width="3.77734375" customWidth="1"/>
    <col min="5" max="5" width="5.33203125" customWidth="1"/>
    <col min="6" max="6" width="6" customWidth="1"/>
    <col min="7" max="9" width="9.33203125" customWidth="1"/>
    <col min="10" max="10" width="10.44140625" customWidth="1"/>
    <col min="11" max="11" width="9" customWidth="1"/>
  </cols>
  <sheetData>
    <row r="1" spans="1:32" x14ac:dyDescent="0.3">
      <c r="L1" s="12" t="s">
        <v>208</v>
      </c>
      <c r="M1" s="12"/>
      <c r="N1" s="12"/>
      <c r="O1" s="12"/>
      <c r="P1" s="12"/>
    </row>
    <row r="2" spans="1:32" ht="16.8" x14ac:dyDescent="0.35">
      <c r="A2" s="2" t="s">
        <v>191</v>
      </c>
      <c r="B2" s="1" t="s">
        <v>0</v>
      </c>
      <c r="C2" s="1" t="s">
        <v>187</v>
      </c>
      <c r="D2" s="1" t="s">
        <v>1</v>
      </c>
      <c r="E2" s="1" t="s">
        <v>2</v>
      </c>
      <c r="F2" s="1" t="s">
        <v>3</v>
      </c>
      <c r="G2" s="1" t="s">
        <v>5</v>
      </c>
      <c r="H2" s="1" t="s">
        <v>236</v>
      </c>
      <c r="I2" s="1" t="s">
        <v>4</v>
      </c>
      <c r="J2" s="1" t="s">
        <v>206</v>
      </c>
      <c r="K2" s="1" t="s">
        <v>207</v>
      </c>
      <c r="L2" s="1" t="s">
        <v>209</v>
      </c>
      <c r="M2" s="1" t="s">
        <v>210</v>
      </c>
      <c r="N2" s="1" t="s">
        <v>211</v>
      </c>
      <c r="O2" s="1" t="s">
        <v>212</v>
      </c>
      <c r="P2" s="1" t="s">
        <v>213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t="s">
        <v>11</v>
      </c>
      <c r="W2" t="s">
        <v>12</v>
      </c>
      <c r="X2" t="s">
        <v>13</v>
      </c>
      <c r="Y2" s="2" t="s">
        <v>14</v>
      </c>
      <c r="Z2" s="2" t="s">
        <v>15</v>
      </c>
      <c r="AA2" s="2" t="s">
        <v>16</v>
      </c>
      <c r="AB2" t="s">
        <v>17</v>
      </c>
      <c r="AC2" t="s">
        <v>18</v>
      </c>
      <c r="AD2" s="2" t="s">
        <v>19</v>
      </c>
      <c r="AE2" s="2" t="s">
        <v>195</v>
      </c>
      <c r="AF2" s="2" t="s">
        <v>234</v>
      </c>
    </row>
    <row r="3" spans="1:32" x14ac:dyDescent="0.3">
      <c r="A3">
        <v>1</v>
      </c>
      <c r="B3" t="s">
        <v>58</v>
      </c>
      <c r="C3" t="s">
        <v>188</v>
      </c>
      <c r="D3">
        <v>1</v>
      </c>
      <c r="E3" t="s">
        <v>21</v>
      </c>
      <c r="F3">
        <v>2</v>
      </c>
      <c r="G3" t="s">
        <v>22</v>
      </c>
      <c r="H3" t="s">
        <v>237</v>
      </c>
      <c r="I3" s="13"/>
      <c r="J3" s="8">
        <v>1.0580000000000001</v>
      </c>
      <c r="K3">
        <v>0.35</v>
      </c>
      <c r="L3">
        <v>3.04</v>
      </c>
      <c r="M3">
        <v>3.95</v>
      </c>
      <c r="N3">
        <v>3.04</v>
      </c>
      <c r="O3">
        <v>3.04</v>
      </c>
      <c r="P3">
        <f>AVERAGE(L3:O3)</f>
        <v>3.2675000000000001</v>
      </c>
      <c r="Q3">
        <v>9.1822202301094058E-2</v>
      </c>
      <c r="R3">
        <v>0.32487865429577545</v>
      </c>
      <c r="S3">
        <v>0.83716749929997336</v>
      </c>
      <c r="T3">
        <v>1.002601264091761</v>
      </c>
      <c r="U3">
        <v>0.48827882243801884</v>
      </c>
      <c r="V3">
        <v>-1.1282478410987557E-3</v>
      </c>
      <c r="W3">
        <v>417</v>
      </c>
      <c r="X3">
        <v>679</v>
      </c>
      <c r="Y3">
        <v>0.70266586002074227</v>
      </c>
      <c r="Z3">
        <v>0.15325114673998108</v>
      </c>
      <c r="AB3">
        <v>36.088392290576735</v>
      </c>
      <c r="AC3">
        <v>32.30109487274887</v>
      </c>
      <c r="AD3">
        <v>66.152971188606301</v>
      </c>
    </row>
    <row r="4" spans="1:32" x14ac:dyDescent="0.3">
      <c r="A4">
        <v>2</v>
      </c>
      <c r="B4" t="s">
        <v>58</v>
      </c>
      <c r="C4" t="s">
        <v>188</v>
      </c>
      <c r="D4">
        <v>1</v>
      </c>
      <c r="E4" t="s">
        <v>21</v>
      </c>
      <c r="F4">
        <v>4</v>
      </c>
      <c r="G4" t="s">
        <v>23</v>
      </c>
      <c r="H4" t="s">
        <v>238</v>
      </c>
      <c r="I4" s="13"/>
      <c r="J4">
        <v>0.11600000000000001</v>
      </c>
      <c r="K4">
        <v>3.7999999999999999E-2</v>
      </c>
      <c r="L4">
        <v>1.89</v>
      </c>
      <c r="M4">
        <v>1.92</v>
      </c>
      <c r="N4">
        <v>1.89</v>
      </c>
      <c r="O4">
        <v>1.45</v>
      </c>
      <c r="P4">
        <f t="shared" ref="P4:P67" si="0">AVERAGE(L4:O4)</f>
        <v>1.7874999999999999</v>
      </c>
      <c r="Q4">
        <v>0.11529756210880344</v>
      </c>
      <c r="R4">
        <v>0.46052871085435509</v>
      </c>
      <c r="S4">
        <v>0.85413613943088784</v>
      </c>
      <c r="T4">
        <v>0.97767156256854171</v>
      </c>
      <c r="U4">
        <v>0.33674328929572911</v>
      </c>
      <c r="V4">
        <v>9.8070169100843031E-3</v>
      </c>
      <c r="W4">
        <v>398</v>
      </c>
      <c r="X4">
        <v>610</v>
      </c>
      <c r="Y4">
        <v>0.74658804591265393</v>
      </c>
      <c r="Z4">
        <v>0.1269189681141521</v>
      </c>
      <c r="AB4">
        <v>28.907129923179831</v>
      </c>
      <c r="AC4">
        <v>25.873505472655509</v>
      </c>
      <c r="AD4">
        <v>76.834509536234023</v>
      </c>
    </row>
    <row r="5" spans="1:32" x14ac:dyDescent="0.3">
      <c r="A5">
        <v>3</v>
      </c>
      <c r="B5" t="s">
        <v>58</v>
      </c>
      <c r="C5" t="s">
        <v>188</v>
      </c>
      <c r="D5">
        <v>1</v>
      </c>
      <c r="E5" t="s">
        <v>21</v>
      </c>
      <c r="F5">
        <v>9</v>
      </c>
      <c r="G5" t="s">
        <v>24</v>
      </c>
      <c r="H5" t="s">
        <v>239</v>
      </c>
      <c r="I5" s="13"/>
      <c r="J5">
        <v>0.39100000000000001</v>
      </c>
      <c r="K5">
        <v>0.128</v>
      </c>
      <c r="L5">
        <v>2.95</v>
      </c>
      <c r="M5">
        <v>3.06</v>
      </c>
      <c r="N5">
        <v>3.04</v>
      </c>
      <c r="O5">
        <v>2.82</v>
      </c>
      <c r="P5">
        <f t="shared" si="0"/>
        <v>2.9675000000000002</v>
      </c>
      <c r="Q5">
        <v>0.15446618376190635</v>
      </c>
      <c r="R5">
        <v>0.48015777485748234</v>
      </c>
      <c r="S5">
        <v>0.86434747374162502</v>
      </c>
      <c r="T5">
        <v>0.91328996501368664</v>
      </c>
      <c r="U5">
        <v>0.31861603451784809</v>
      </c>
      <c r="V5">
        <v>3.9391314237698136E-2</v>
      </c>
      <c r="W5">
        <v>423</v>
      </c>
      <c r="X5">
        <v>609</v>
      </c>
      <c r="Y5">
        <v>0.79502874268288404</v>
      </c>
      <c r="Z5">
        <v>9.9617170006518749E-2</v>
      </c>
      <c r="AB5">
        <v>22.288356463793619</v>
      </c>
      <c r="AC5">
        <v>19.949338632284203</v>
      </c>
      <c r="AD5">
        <v>62.612475428215433</v>
      </c>
    </row>
    <row r="6" spans="1:32" x14ac:dyDescent="0.3">
      <c r="A6">
        <v>4</v>
      </c>
      <c r="B6" t="s">
        <v>58</v>
      </c>
      <c r="C6" t="s">
        <v>188</v>
      </c>
      <c r="D6">
        <v>1</v>
      </c>
      <c r="E6" t="s">
        <v>21</v>
      </c>
      <c r="F6">
        <v>10</v>
      </c>
      <c r="G6" t="s">
        <v>25</v>
      </c>
      <c r="H6" t="s">
        <v>240</v>
      </c>
      <c r="I6" s="13"/>
      <c r="J6">
        <v>1.5529999999999999</v>
      </c>
      <c r="K6">
        <v>0.222</v>
      </c>
      <c r="L6">
        <v>1.67</v>
      </c>
      <c r="M6">
        <v>1.52</v>
      </c>
      <c r="N6">
        <v>1.26</v>
      </c>
      <c r="O6">
        <v>1.7</v>
      </c>
      <c r="P6">
        <f t="shared" si="0"/>
        <v>1.5375000000000001</v>
      </c>
      <c r="Q6">
        <v>0.44062796585445796</v>
      </c>
      <c r="R6">
        <v>0.57863011612024284</v>
      </c>
      <c r="S6">
        <v>0.9112398135846379</v>
      </c>
      <c r="T6">
        <v>0.97088139731364598</v>
      </c>
      <c r="U6">
        <v>0.23759896625585158</v>
      </c>
      <c r="V6">
        <v>1.283382018285833E-2</v>
      </c>
      <c r="W6">
        <v>435</v>
      </c>
      <c r="X6">
        <v>619</v>
      </c>
      <c r="Y6">
        <v>0.80443722197317136</v>
      </c>
      <c r="Z6">
        <v>9.4507842446805754E-2</v>
      </c>
      <c r="AB6">
        <v>21.143219550907311</v>
      </c>
      <c r="AC6">
        <v>18.924373794650197</v>
      </c>
      <c r="AD6">
        <v>79.648384388474284</v>
      </c>
    </row>
    <row r="7" spans="1:32" x14ac:dyDescent="0.3">
      <c r="A7">
        <v>5</v>
      </c>
      <c r="B7" t="s">
        <v>58</v>
      </c>
      <c r="C7" t="s">
        <v>188</v>
      </c>
      <c r="D7">
        <v>1</v>
      </c>
      <c r="E7" t="s">
        <v>21</v>
      </c>
      <c r="F7">
        <v>12</v>
      </c>
      <c r="G7" t="s">
        <v>26</v>
      </c>
      <c r="H7" t="s">
        <v>241</v>
      </c>
      <c r="I7" s="13"/>
      <c r="J7">
        <v>0.501</v>
      </c>
      <c r="K7">
        <v>0.105</v>
      </c>
      <c r="L7">
        <v>1.7</v>
      </c>
      <c r="M7">
        <v>1.96</v>
      </c>
      <c r="N7">
        <v>1.5</v>
      </c>
      <c r="O7">
        <v>1.97</v>
      </c>
      <c r="P7">
        <f t="shared" si="0"/>
        <v>1.7825</v>
      </c>
      <c r="Q7">
        <v>0.26725150681076371</v>
      </c>
      <c r="R7">
        <v>0.73316272273928262</v>
      </c>
      <c r="S7">
        <v>0.91184905542465955</v>
      </c>
      <c r="T7">
        <v>0.92007571119992093</v>
      </c>
      <c r="U7">
        <v>0.13479962461570111</v>
      </c>
      <c r="V7">
        <v>3.6176433955039784E-2</v>
      </c>
      <c r="W7">
        <v>541</v>
      </c>
      <c r="X7">
        <v>692</v>
      </c>
      <c r="Y7">
        <v>0.89542476102374335</v>
      </c>
      <c r="Z7">
        <v>4.7970900317446108E-2</v>
      </c>
      <c r="AB7">
        <v>12.070328131604558</v>
      </c>
      <c r="AC7">
        <v>10.803536489660932</v>
      </c>
      <c r="AD7">
        <v>80.145152632736369</v>
      </c>
    </row>
    <row r="8" spans="1:32" x14ac:dyDescent="0.3">
      <c r="A8">
        <v>6</v>
      </c>
      <c r="B8" t="s">
        <v>58</v>
      </c>
      <c r="C8" t="s">
        <v>188</v>
      </c>
      <c r="D8">
        <v>1</v>
      </c>
      <c r="E8" t="s">
        <v>21</v>
      </c>
      <c r="F8">
        <v>13</v>
      </c>
      <c r="G8" t="s">
        <v>27</v>
      </c>
      <c r="H8" t="s">
        <v>242</v>
      </c>
      <c r="I8" s="13"/>
      <c r="J8">
        <v>0.27900000000000003</v>
      </c>
      <c r="K8">
        <v>0.08</v>
      </c>
      <c r="L8">
        <v>3.44</v>
      </c>
      <c r="M8">
        <v>3.41</v>
      </c>
      <c r="N8">
        <v>3.66</v>
      </c>
      <c r="O8">
        <v>4.1100000000000003</v>
      </c>
      <c r="P8">
        <f t="shared" si="0"/>
        <v>3.6550000000000002</v>
      </c>
      <c r="Q8">
        <v>3.4178264189851683E-2</v>
      </c>
      <c r="R8">
        <v>3.8351151619010829E-2</v>
      </c>
      <c r="S8">
        <v>0.91961876347521476</v>
      </c>
      <c r="T8">
        <v>0.82793982846995506</v>
      </c>
      <c r="U8">
        <v>1.4162215904041167</v>
      </c>
      <c r="V8">
        <v>8.2001224945840251E-2</v>
      </c>
      <c r="W8">
        <v>399</v>
      </c>
      <c r="X8">
        <v>544</v>
      </c>
      <c r="Y8">
        <v>0.83961588286095612</v>
      </c>
      <c r="Z8">
        <v>7.5919354542201389E-2</v>
      </c>
      <c r="AB8">
        <v>17.22580526541504</v>
      </c>
      <c r="AC8">
        <v>15.418045634774844</v>
      </c>
      <c r="AD8">
        <v>10.886746635726213</v>
      </c>
    </row>
    <row r="9" spans="1:32" x14ac:dyDescent="0.3">
      <c r="A9">
        <v>7</v>
      </c>
      <c r="B9" t="s">
        <v>58</v>
      </c>
      <c r="C9" t="s">
        <v>188</v>
      </c>
      <c r="D9">
        <v>2</v>
      </c>
      <c r="E9" t="s">
        <v>21</v>
      </c>
      <c r="F9">
        <v>3</v>
      </c>
      <c r="G9" t="s">
        <v>28</v>
      </c>
      <c r="H9" t="s">
        <v>243</v>
      </c>
      <c r="I9" s="13"/>
      <c r="J9">
        <v>2.1349999999999998</v>
      </c>
      <c r="K9">
        <v>0.65</v>
      </c>
      <c r="L9">
        <v>5.22</v>
      </c>
      <c r="M9">
        <v>4.9000000000000004</v>
      </c>
      <c r="N9">
        <v>5.65</v>
      </c>
      <c r="O9">
        <v>7.1</v>
      </c>
      <c r="P9">
        <f t="shared" si="0"/>
        <v>5.7175000000000002</v>
      </c>
      <c r="Q9">
        <v>8.9089028738522008E-2</v>
      </c>
      <c r="R9">
        <v>0.36764806137719602</v>
      </c>
      <c r="S9">
        <v>0.86939513730277351</v>
      </c>
      <c r="T9">
        <v>0.92798353059994643</v>
      </c>
      <c r="U9">
        <v>0.43456771973822483</v>
      </c>
      <c r="V9">
        <v>3.2459731359837665E-2</v>
      </c>
      <c r="W9">
        <v>391</v>
      </c>
      <c r="X9">
        <v>597</v>
      </c>
      <c r="Y9">
        <v>0.74941444662971568</v>
      </c>
      <c r="Z9">
        <v>0.12527793916977129</v>
      </c>
      <c r="AB9">
        <v>28.485514969065505</v>
      </c>
      <c r="AC9">
        <v>25.496137937449401</v>
      </c>
      <c r="AD9">
        <v>58.670114643599803</v>
      </c>
    </row>
    <row r="10" spans="1:32" x14ac:dyDescent="0.3">
      <c r="A10">
        <v>8</v>
      </c>
      <c r="B10" t="s">
        <v>58</v>
      </c>
      <c r="C10" t="s">
        <v>188</v>
      </c>
      <c r="D10">
        <v>2</v>
      </c>
      <c r="E10" t="s">
        <v>21</v>
      </c>
      <c r="F10">
        <v>4</v>
      </c>
      <c r="G10" t="s">
        <v>22</v>
      </c>
      <c r="H10" t="s">
        <v>244</v>
      </c>
      <c r="I10" s="13"/>
      <c r="J10">
        <v>3.33</v>
      </c>
      <c r="K10">
        <v>1.05</v>
      </c>
      <c r="L10">
        <v>4.58</v>
      </c>
      <c r="M10">
        <v>4.04</v>
      </c>
      <c r="N10">
        <v>4.8099999999999996</v>
      </c>
      <c r="O10">
        <v>5.4</v>
      </c>
      <c r="P10">
        <f t="shared" si="0"/>
        <v>4.7074999999999996</v>
      </c>
      <c r="Q10">
        <v>2.9399872931718734E-2</v>
      </c>
      <c r="R10">
        <v>0.14740231772572596</v>
      </c>
      <c r="S10">
        <v>0.87683171457853892</v>
      </c>
      <c r="T10">
        <v>0.96521800529411195</v>
      </c>
      <c r="U10">
        <v>0.83149568766028004</v>
      </c>
      <c r="V10">
        <v>1.5374585305581353E-2</v>
      </c>
      <c r="W10">
        <v>429</v>
      </c>
      <c r="X10">
        <v>659</v>
      </c>
      <c r="Y10">
        <v>0.74499255157226596</v>
      </c>
      <c r="Z10">
        <v>0.12784806930168635</v>
      </c>
      <c r="AB10">
        <v>29.147184119104409</v>
      </c>
      <c r="AC10">
        <v>26.088366532809818</v>
      </c>
      <c r="AD10">
        <v>31.375227701082931</v>
      </c>
    </row>
    <row r="11" spans="1:32" x14ac:dyDescent="0.3">
      <c r="A11">
        <v>9</v>
      </c>
      <c r="B11" t="s">
        <v>58</v>
      </c>
      <c r="C11" t="s">
        <v>188</v>
      </c>
      <c r="D11">
        <v>2</v>
      </c>
      <c r="E11" t="s">
        <v>21</v>
      </c>
      <c r="F11">
        <v>9</v>
      </c>
      <c r="G11" t="s">
        <v>23</v>
      </c>
      <c r="H11" t="s">
        <v>245</v>
      </c>
      <c r="I11" s="13"/>
      <c r="J11">
        <v>0.16500000000000001</v>
      </c>
      <c r="K11">
        <v>0.3</v>
      </c>
      <c r="L11">
        <v>1.58</v>
      </c>
      <c r="M11">
        <v>1.36</v>
      </c>
      <c r="N11">
        <v>1.57</v>
      </c>
      <c r="O11">
        <v>1.57</v>
      </c>
      <c r="P11">
        <f t="shared" si="0"/>
        <v>1.5200000000000002</v>
      </c>
      <c r="Q11">
        <v>7.6109930904253054E-2</v>
      </c>
      <c r="R11">
        <v>0.51699914884299036</v>
      </c>
      <c r="S11">
        <v>0.87044621434468605</v>
      </c>
      <c r="T11">
        <v>0.94151625780733583</v>
      </c>
      <c r="U11">
        <v>0.28651017190237626</v>
      </c>
      <c r="V11">
        <v>2.6172176321716097E-2</v>
      </c>
      <c r="W11">
        <v>449</v>
      </c>
      <c r="X11">
        <v>664</v>
      </c>
      <c r="Y11">
        <v>0.7739964324741273</v>
      </c>
      <c r="Z11">
        <v>0.11126104107469297</v>
      </c>
      <c r="AB11">
        <v>25.008220391321515</v>
      </c>
      <c r="AC11">
        <v>22.383771317807621</v>
      </c>
      <c r="AD11">
        <v>78.125572886935871</v>
      </c>
    </row>
    <row r="12" spans="1:32" x14ac:dyDescent="0.3">
      <c r="A12">
        <v>10</v>
      </c>
      <c r="B12" t="s">
        <v>58</v>
      </c>
      <c r="C12" t="s">
        <v>188</v>
      </c>
      <c r="D12">
        <v>2</v>
      </c>
      <c r="E12" t="s">
        <v>21</v>
      </c>
      <c r="F12">
        <v>11</v>
      </c>
      <c r="G12" t="s">
        <v>29</v>
      </c>
      <c r="H12" t="s">
        <v>246</v>
      </c>
      <c r="I12" s="13"/>
      <c r="J12">
        <v>1.03</v>
      </c>
      <c r="K12">
        <v>0.3</v>
      </c>
      <c r="L12">
        <v>2.02</v>
      </c>
      <c r="M12">
        <v>2.5499999999999998</v>
      </c>
      <c r="N12">
        <v>2.74</v>
      </c>
      <c r="O12">
        <v>2.76</v>
      </c>
      <c r="P12">
        <f t="shared" si="0"/>
        <v>2.5175000000000001</v>
      </c>
      <c r="Q12">
        <v>6.0899452556462993E-2</v>
      </c>
      <c r="R12">
        <v>0.22049556459087305</v>
      </c>
      <c r="S12">
        <v>0.81704362093413674</v>
      </c>
      <c r="T12">
        <v>0.907737059412556</v>
      </c>
      <c r="U12">
        <v>0.65660014221919394</v>
      </c>
      <c r="V12">
        <v>4.2039933619452879E-2</v>
      </c>
      <c r="W12">
        <v>503</v>
      </c>
      <c r="X12">
        <v>708</v>
      </c>
      <c r="Y12">
        <v>0.81343424145621124</v>
      </c>
      <c r="Z12">
        <v>8.9677549951487467E-2</v>
      </c>
      <c r="AB12">
        <v>20.087734780645953</v>
      </c>
      <c r="AC12">
        <v>17.979651569915152</v>
      </c>
      <c r="AD12">
        <v>27.382954120520086</v>
      </c>
    </row>
    <row r="13" spans="1:32" x14ac:dyDescent="0.3">
      <c r="A13">
        <v>11</v>
      </c>
      <c r="B13" t="s">
        <v>58</v>
      </c>
      <c r="C13" t="s">
        <v>188</v>
      </c>
      <c r="D13">
        <v>2</v>
      </c>
      <c r="E13" t="s">
        <v>21</v>
      </c>
      <c r="F13">
        <v>13</v>
      </c>
      <c r="G13" t="s">
        <v>24</v>
      </c>
      <c r="H13" t="s">
        <v>247</v>
      </c>
      <c r="I13" s="13"/>
      <c r="J13">
        <v>0.84</v>
      </c>
      <c r="K13">
        <v>0.26100000000000001</v>
      </c>
      <c r="L13">
        <v>3.47</v>
      </c>
      <c r="M13">
        <v>3.7</v>
      </c>
      <c r="N13">
        <v>2.66</v>
      </c>
      <c r="O13">
        <v>3.78</v>
      </c>
      <c r="P13">
        <f t="shared" si="0"/>
        <v>3.4024999999999999</v>
      </c>
      <c r="Q13">
        <v>9.9905695324181837E-2</v>
      </c>
      <c r="R13">
        <v>0.5597195101152932</v>
      </c>
      <c r="S13">
        <v>0.84787545568636835</v>
      </c>
      <c r="T13">
        <v>1.0128110081176267</v>
      </c>
      <c r="U13">
        <v>0.25202955464814314</v>
      </c>
      <c r="V13">
        <v>-5.5284129919613073E-3</v>
      </c>
      <c r="W13">
        <v>415</v>
      </c>
      <c r="X13">
        <v>691</v>
      </c>
      <c r="Y13">
        <v>0.68710048482228325</v>
      </c>
      <c r="Z13">
        <v>0.16297974501815427</v>
      </c>
      <c r="AB13">
        <v>38.939672885212659</v>
      </c>
      <c r="AC13">
        <v>34.853125825863373</v>
      </c>
      <c r="AD13">
        <v>138.28983618417928</v>
      </c>
    </row>
    <row r="14" spans="1:32" x14ac:dyDescent="0.3">
      <c r="A14">
        <v>12</v>
      </c>
      <c r="B14" t="s">
        <v>58</v>
      </c>
      <c r="C14" t="s">
        <v>188</v>
      </c>
      <c r="D14">
        <v>3</v>
      </c>
      <c r="E14" t="s">
        <v>21</v>
      </c>
      <c r="F14">
        <v>2</v>
      </c>
      <c r="G14" t="s">
        <v>29</v>
      </c>
      <c r="H14" t="s">
        <v>248</v>
      </c>
      <c r="I14" s="13"/>
      <c r="J14">
        <v>1.3089999999999999</v>
      </c>
      <c r="K14">
        <v>0.4</v>
      </c>
      <c r="L14">
        <v>2.41</v>
      </c>
      <c r="M14">
        <v>2.86</v>
      </c>
      <c r="N14">
        <v>2.79</v>
      </c>
      <c r="O14">
        <v>3.1</v>
      </c>
      <c r="P14">
        <f t="shared" si="0"/>
        <v>2.7899999999999996</v>
      </c>
      <c r="Q14">
        <v>0.1129440001285746</v>
      </c>
      <c r="R14">
        <v>0.53640407799484979</v>
      </c>
      <c r="S14">
        <v>0.85499191634560634</v>
      </c>
      <c r="T14">
        <v>0.9753837490953694</v>
      </c>
      <c r="U14">
        <v>0.27050792909797727</v>
      </c>
      <c r="V14">
        <v>1.0824484480561596E-2</v>
      </c>
      <c r="W14">
        <v>444</v>
      </c>
      <c r="X14">
        <v>659</v>
      </c>
      <c r="Y14">
        <v>0.77116325010524944</v>
      </c>
      <c r="Z14">
        <v>0.11285367497761838</v>
      </c>
      <c r="AB14">
        <v>25.392144735430776</v>
      </c>
      <c r="AC14">
        <v>22.727404852500136</v>
      </c>
      <c r="AD14">
        <v>84.017518186198259</v>
      </c>
    </row>
    <row r="15" spans="1:32" x14ac:dyDescent="0.3">
      <c r="A15">
        <v>13</v>
      </c>
      <c r="B15" t="s">
        <v>58</v>
      </c>
      <c r="C15" t="s">
        <v>188</v>
      </c>
      <c r="D15">
        <v>3</v>
      </c>
      <c r="E15" t="s">
        <v>21</v>
      </c>
      <c r="F15">
        <v>6</v>
      </c>
      <c r="G15" t="s">
        <v>22</v>
      </c>
      <c r="H15" t="s">
        <v>249</v>
      </c>
      <c r="I15" s="13"/>
      <c r="J15">
        <v>1.899</v>
      </c>
      <c r="K15">
        <v>0.74199999999999999</v>
      </c>
      <c r="L15">
        <v>4.29</v>
      </c>
      <c r="M15">
        <v>3.64</v>
      </c>
      <c r="N15">
        <v>3.98</v>
      </c>
      <c r="O15">
        <v>4.46</v>
      </c>
      <c r="P15">
        <f t="shared" si="0"/>
        <v>4.0925000000000002</v>
      </c>
      <c r="Q15">
        <v>0.16616749581732765</v>
      </c>
      <c r="R15">
        <v>0.27752829267987034</v>
      </c>
      <c r="S15">
        <v>0.89612853040022666</v>
      </c>
      <c r="T15">
        <v>0.91151912009734215</v>
      </c>
      <c r="U15">
        <v>0.55669273604254399</v>
      </c>
      <c r="V15">
        <v>4.0234217117969852E-2</v>
      </c>
      <c r="W15">
        <v>423</v>
      </c>
      <c r="X15">
        <v>645</v>
      </c>
      <c r="Y15">
        <v>0.75051702458555303</v>
      </c>
      <c r="Z15">
        <v>0.12463945185548325</v>
      </c>
      <c r="AB15">
        <v>28.322296026109179</v>
      </c>
      <c r="AC15">
        <v>25.350048373120927</v>
      </c>
      <c r="AD15">
        <v>45.536876506295222</v>
      </c>
    </row>
    <row r="16" spans="1:32" x14ac:dyDescent="0.3">
      <c r="A16">
        <v>14</v>
      </c>
      <c r="B16" t="s">
        <v>58</v>
      </c>
      <c r="C16" t="s">
        <v>188</v>
      </c>
      <c r="D16">
        <v>3</v>
      </c>
      <c r="E16" t="s">
        <v>21</v>
      </c>
      <c r="F16">
        <v>7</v>
      </c>
      <c r="G16" t="s">
        <v>24</v>
      </c>
      <c r="H16" t="s">
        <v>250</v>
      </c>
      <c r="I16" s="13"/>
      <c r="J16">
        <v>1.4550000000000001</v>
      </c>
      <c r="K16">
        <v>0.48799999999999999</v>
      </c>
      <c r="L16">
        <v>3.5</v>
      </c>
      <c r="M16">
        <v>3.62</v>
      </c>
      <c r="N16">
        <v>3.69</v>
      </c>
      <c r="O16">
        <v>2.87</v>
      </c>
      <c r="P16">
        <f t="shared" si="0"/>
        <v>3.42</v>
      </c>
      <c r="Q16">
        <v>8.2058625284643888E-2</v>
      </c>
      <c r="R16">
        <v>0.39832391313572696</v>
      </c>
      <c r="S16">
        <v>0.88224878497095083</v>
      </c>
      <c r="T16">
        <v>0.95254432373835995</v>
      </c>
      <c r="U16">
        <v>0.39976362020090028</v>
      </c>
      <c r="V16">
        <v>2.1114806615996143E-2</v>
      </c>
      <c r="W16">
        <v>419</v>
      </c>
      <c r="X16">
        <v>639</v>
      </c>
      <c r="Y16">
        <v>0.75038828952202807</v>
      </c>
      <c r="Z16">
        <v>0.12471395212852239</v>
      </c>
      <c r="AB16">
        <v>28.34131708659298</v>
      </c>
      <c r="AC16">
        <v>25.367073226698494</v>
      </c>
      <c r="AD16">
        <v>63.455181874604627</v>
      </c>
    </row>
    <row r="17" spans="1:31" x14ac:dyDescent="0.3">
      <c r="A17">
        <v>15</v>
      </c>
      <c r="B17" t="s">
        <v>58</v>
      </c>
      <c r="C17" t="s">
        <v>188</v>
      </c>
      <c r="D17">
        <v>3</v>
      </c>
      <c r="E17" t="s">
        <v>21</v>
      </c>
      <c r="F17">
        <v>9</v>
      </c>
      <c r="G17" t="s">
        <v>27</v>
      </c>
      <c r="H17" t="s">
        <v>251</v>
      </c>
      <c r="I17" s="13"/>
      <c r="J17">
        <v>0.55500000000000005</v>
      </c>
      <c r="K17">
        <v>7.8E-2</v>
      </c>
      <c r="L17">
        <v>1.32</v>
      </c>
      <c r="M17">
        <v>1.49</v>
      </c>
      <c r="N17">
        <v>1.07</v>
      </c>
      <c r="O17">
        <v>1.22</v>
      </c>
      <c r="P17">
        <f t="shared" si="0"/>
        <v>1.2749999999999999</v>
      </c>
      <c r="Q17">
        <v>8.6785523651260243E-2</v>
      </c>
      <c r="R17">
        <v>0.31694341815331822</v>
      </c>
      <c r="S17">
        <v>0.8385453268755142</v>
      </c>
      <c r="T17">
        <v>0.92017040197997169</v>
      </c>
      <c r="U17">
        <v>0.49901826263115895</v>
      </c>
      <c r="V17">
        <v>3.613174027737899E-2</v>
      </c>
      <c r="W17">
        <v>467</v>
      </c>
      <c r="X17">
        <v>677</v>
      </c>
      <c r="Y17">
        <v>0.78965721040189119</v>
      </c>
      <c r="Z17">
        <v>0.10256139470800049</v>
      </c>
      <c r="AB17">
        <v>22.961626277594569</v>
      </c>
      <c r="AC17">
        <v>20.551954030506202</v>
      </c>
      <c r="AD17">
        <v>41.184773323009296</v>
      </c>
    </row>
    <row r="18" spans="1:31" x14ac:dyDescent="0.3">
      <c r="A18">
        <v>16</v>
      </c>
      <c r="B18" t="s">
        <v>58</v>
      </c>
      <c r="C18" t="s">
        <v>188</v>
      </c>
      <c r="D18">
        <v>3</v>
      </c>
      <c r="E18" t="s">
        <v>21</v>
      </c>
      <c r="F18">
        <v>10</v>
      </c>
      <c r="G18" t="s">
        <v>28</v>
      </c>
      <c r="H18" t="s">
        <v>252</v>
      </c>
      <c r="I18" s="13"/>
      <c r="J18">
        <v>1.4770000000000001</v>
      </c>
      <c r="K18">
        <v>0.47799999999999998</v>
      </c>
      <c r="L18">
        <v>3.49</v>
      </c>
      <c r="M18">
        <v>2.83</v>
      </c>
      <c r="N18">
        <v>3.05</v>
      </c>
      <c r="O18">
        <v>3.5</v>
      </c>
      <c r="P18">
        <f t="shared" si="0"/>
        <v>3.2175000000000002</v>
      </c>
      <c r="Q18">
        <v>0.12196949181476482</v>
      </c>
      <c r="R18">
        <v>0.43759842782025804</v>
      </c>
      <c r="S18">
        <v>0.83436763592665897</v>
      </c>
      <c r="T18">
        <v>1.0060594406009022</v>
      </c>
      <c r="U18">
        <v>0.35892424698132819</v>
      </c>
      <c r="V18">
        <v>-2.623640722251934E-3</v>
      </c>
      <c r="W18">
        <v>361</v>
      </c>
      <c r="X18">
        <v>606</v>
      </c>
      <c r="Y18">
        <v>0.68131340707341126</v>
      </c>
      <c r="Z18">
        <v>0.16665306480974215</v>
      </c>
      <c r="AB18">
        <v>40.04405903755832</v>
      </c>
      <c r="AC18">
        <v>35.841602614449357</v>
      </c>
      <c r="AD18">
        <v>99.858404429037904</v>
      </c>
    </row>
    <row r="19" spans="1:31" x14ac:dyDescent="0.3">
      <c r="A19">
        <v>17</v>
      </c>
      <c r="B19" t="s">
        <v>58</v>
      </c>
      <c r="C19" t="s">
        <v>188</v>
      </c>
      <c r="D19">
        <v>3</v>
      </c>
      <c r="E19" t="s">
        <v>21</v>
      </c>
      <c r="F19">
        <v>15</v>
      </c>
      <c r="G19" t="s">
        <v>25</v>
      </c>
      <c r="H19" t="s">
        <v>253</v>
      </c>
      <c r="I19" s="13"/>
      <c r="J19">
        <v>1.06</v>
      </c>
      <c r="K19">
        <v>0.14399999999999999</v>
      </c>
      <c r="L19">
        <v>1.39</v>
      </c>
      <c r="M19">
        <v>1.66</v>
      </c>
      <c r="N19">
        <v>1.86</v>
      </c>
      <c r="O19">
        <v>1.66</v>
      </c>
      <c r="P19">
        <f t="shared" si="0"/>
        <v>1.6425000000000001</v>
      </c>
      <c r="Q19">
        <v>0.46098652321266964</v>
      </c>
      <c r="R19">
        <v>0.61272538485741745</v>
      </c>
      <c r="S19">
        <v>0.91149353644938158</v>
      </c>
      <c r="T19">
        <v>0.97177607616069817</v>
      </c>
      <c r="U19">
        <v>0.21273412672675709</v>
      </c>
      <c r="V19">
        <v>1.2433796896070371E-2</v>
      </c>
      <c r="W19">
        <v>472</v>
      </c>
      <c r="X19">
        <v>653</v>
      </c>
      <c r="Y19">
        <v>0.82757296466973873</v>
      </c>
      <c r="Z19">
        <v>8.2193705399404002E-2</v>
      </c>
      <c r="AB19">
        <v>18.504455653078711</v>
      </c>
      <c r="AC19">
        <v>16.562519108545374</v>
      </c>
      <c r="AD19">
        <v>77.85548733240546</v>
      </c>
    </row>
    <row r="20" spans="1:31" x14ac:dyDescent="0.3">
      <c r="A20">
        <v>18</v>
      </c>
      <c r="B20" t="s">
        <v>58</v>
      </c>
      <c r="C20" t="s">
        <v>188</v>
      </c>
      <c r="D20">
        <v>4</v>
      </c>
      <c r="E20" t="s">
        <v>21</v>
      </c>
      <c r="F20">
        <v>1</v>
      </c>
      <c r="G20" t="s">
        <v>29</v>
      </c>
      <c r="H20" t="s">
        <v>254</v>
      </c>
      <c r="I20" s="13"/>
      <c r="J20">
        <v>2.4</v>
      </c>
      <c r="K20">
        <v>0.19900000000000001</v>
      </c>
      <c r="L20">
        <v>2.4</v>
      </c>
      <c r="M20">
        <v>3.14</v>
      </c>
      <c r="N20">
        <v>3.11</v>
      </c>
      <c r="O20">
        <v>2.78</v>
      </c>
      <c r="P20">
        <f t="shared" si="0"/>
        <v>2.8574999999999999</v>
      </c>
      <c r="Q20">
        <v>0.22839359999245049</v>
      </c>
      <c r="R20">
        <v>0.55431492050233022</v>
      </c>
      <c r="S20">
        <v>0.8503802576234033</v>
      </c>
      <c r="T20">
        <v>0.89612517336206954</v>
      </c>
      <c r="U20">
        <v>0.25624343133967153</v>
      </c>
      <c r="V20">
        <v>4.7631322588406765E-2</v>
      </c>
      <c r="W20">
        <v>285</v>
      </c>
      <c r="X20">
        <v>487</v>
      </c>
      <c r="Y20">
        <v>0.66885830225926735</v>
      </c>
      <c r="Z20">
        <v>0.17466587784490289</v>
      </c>
      <c r="AB20">
        <v>42.505996553263188</v>
      </c>
      <c r="AC20">
        <v>38.045148863759366</v>
      </c>
      <c r="AD20">
        <v>148.47267953310936</v>
      </c>
    </row>
    <row r="21" spans="1:31" x14ac:dyDescent="0.3">
      <c r="A21">
        <v>19</v>
      </c>
      <c r="B21" t="s">
        <v>58</v>
      </c>
      <c r="C21" t="s">
        <v>188</v>
      </c>
      <c r="D21">
        <v>4</v>
      </c>
      <c r="E21" t="s">
        <v>21</v>
      </c>
      <c r="F21">
        <v>3</v>
      </c>
      <c r="G21" t="s">
        <v>22</v>
      </c>
      <c r="H21" t="s">
        <v>255</v>
      </c>
      <c r="I21" s="13"/>
      <c r="J21">
        <v>6.06</v>
      </c>
      <c r="K21">
        <v>0.82399999999999995</v>
      </c>
      <c r="L21">
        <v>6.06</v>
      </c>
      <c r="M21">
        <v>8.51</v>
      </c>
      <c r="N21">
        <v>7.97</v>
      </c>
      <c r="O21">
        <v>4.3899999999999997</v>
      </c>
      <c r="P21">
        <f t="shared" si="0"/>
        <v>6.7324999999999999</v>
      </c>
      <c r="Q21">
        <v>4.1946051505727056E-2</v>
      </c>
      <c r="R21">
        <v>8.4805986381105036E-2</v>
      </c>
      <c r="S21">
        <v>0.86418075291110608</v>
      </c>
      <c r="T21">
        <v>0.98222028261771288</v>
      </c>
      <c r="U21">
        <v>1.0715734901900118</v>
      </c>
      <c r="V21">
        <v>7.7911020329604263E-3</v>
      </c>
      <c r="W21">
        <v>387</v>
      </c>
      <c r="X21">
        <v>611</v>
      </c>
      <c r="Y21">
        <v>0.72465761799951078</v>
      </c>
      <c r="Z21">
        <v>0.1398671378913042</v>
      </c>
      <c r="AB21">
        <v>32.340465421777097</v>
      </c>
      <c r="AC21">
        <v>28.946516584972265</v>
      </c>
      <c r="AD21">
        <v>27.013095088643393</v>
      </c>
    </row>
    <row r="22" spans="1:31" x14ac:dyDescent="0.3">
      <c r="A22">
        <v>20</v>
      </c>
      <c r="B22" t="s">
        <v>58</v>
      </c>
      <c r="C22" t="s">
        <v>188</v>
      </c>
      <c r="D22">
        <v>4</v>
      </c>
      <c r="E22" t="s">
        <v>21</v>
      </c>
      <c r="F22">
        <v>9</v>
      </c>
      <c r="G22" t="s">
        <v>30</v>
      </c>
      <c r="H22" t="s">
        <v>256</v>
      </c>
      <c r="I22" s="13"/>
      <c r="J22">
        <v>4.3499999999999996</v>
      </c>
      <c r="K22">
        <v>0.29599999999999999</v>
      </c>
      <c r="L22">
        <v>4.3499999999999996</v>
      </c>
      <c r="M22">
        <v>3.84</v>
      </c>
      <c r="N22">
        <v>4.4000000000000004</v>
      </c>
      <c r="O22">
        <v>4.21</v>
      </c>
      <c r="P22">
        <f t="shared" si="0"/>
        <v>4.2</v>
      </c>
      <c r="Q22">
        <v>5.8014504396867408E-2</v>
      </c>
      <c r="R22">
        <v>9.634780283504471E-2</v>
      </c>
      <c r="S22">
        <v>0.83645329928852086</v>
      </c>
      <c r="T22">
        <v>1.0327401429772995</v>
      </c>
      <c r="U22">
        <v>1.0161581847708121</v>
      </c>
      <c r="V22">
        <v>-1.3991058530254225E-2</v>
      </c>
      <c r="W22">
        <v>350</v>
      </c>
      <c r="X22">
        <v>596</v>
      </c>
      <c r="Y22">
        <v>0.67155598538577255</v>
      </c>
      <c r="Z22">
        <v>0.17291777580154213</v>
      </c>
      <c r="AB22">
        <v>41.962707597043931</v>
      </c>
      <c r="AC22">
        <v>37.55888071442606</v>
      </c>
      <c r="AD22">
        <v>36.961647583340799</v>
      </c>
    </row>
    <row r="23" spans="1:31" x14ac:dyDescent="0.3">
      <c r="A23">
        <v>21</v>
      </c>
      <c r="B23" t="s">
        <v>58</v>
      </c>
      <c r="C23" t="s">
        <v>188</v>
      </c>
      <c r="D23">
        <v>4</v>
      </c>
      <c r="E23" t="s">
        <v>21</v>
      </c>
      <c r="F23">
        <v>13</v>
      </c>
      <c r="G23" t="s">
        <v>24</v>
      </c>
      <c r="H23" t="s">
        <v>257</v>
      </c>
      <c r="I23" s="13"/>
      <c r="J23">
        <v>3</v>
      </c>
      <c r="K23">
        <v>0.20399999999999999</v>
      </c>
      <c r="L23">
        <v>3</v>
      </c>
      <c r="M23">
        <v>2.77</v>
      </c>
      <c r="N23">
        <v>3.31</v>
      </c>
      <c r="O23">
        <v>3.08</v>
      </c>
      <c r="P23">
        <f t="shared" si="0"/>
        <v>3.04</v>
      </c>
      <c r="Q23">
        <v>7.1218344759236399E-2</v>
      </c>
      <c r="R23">
        <v>0.45936575956431885</v>
      </c>
      <c r="S23">
        <v>0.86106012186330938</v>
      </c>
      <c r="T23">
        <v>0.98199103293102419</v>
      </c>
      <c r="U23">
        <v>0.33784137959478111</v>
      </c>
      <c r="V23">
        <v>7.8924779629033649E-3</v>
      </c>
      <c r="W23">
        <v>414</v>
      </c>
      <c r="X23">
        <v>637</v>
      </c>
      <c r="Y23">
        <v>0.74372591723906856</v>
      </c>
      <c r="Z23">
        <v>0.12858708402577051</v>
      </c>
      <c r="AB23">
        <v>29.338821365829403</v>
      </c>
      <c r="AC23">
        <v>26.259891861748038</v>
      </c>
      <c r="AD23">
        <v>77.728465036595225</v>
      </c>
    </row>
    <row r="24" spans="1:31" x14ac:dyDescent="0.3">
      <c r="A24">
        <v>22</v>
      </c>
      <c r="B24" t="s">
        <v>190</v>
      </c>
      <c r="C24" t="s">
        <v>189</v>
      </c>
      <c r="D24">
        <v>1</v>
      </c>
      <c r="E24" t="s">
        <v>21</v>
      </c>
      <c r="F24">
        <v>2</v>
      </c>
      <c r="G24" t="s">
        <v>24</v>
      </c>
      <c r="H24" t="s">
        <v>258</v>
      </c>
      <c r="I24" s="13"/>
      <c r="J24">
        <v>0.16900000000000001</v>
      </c>
      <c r="K24">
        <v>8.8999999999999996E-2</v>
      </c>
      <c r="L24">
        <v>3.03</v>
      </c>
      <c r="M24">
        <v>2.9</v>
      </c>
      <c r="N24">
        <v>3.16</v>
      </c>
      <c r="O24">
        <v>2.8</v>
      </c>
      <c r="P24">
        <f t="shared" si="0"/>
        <v>2.9725000000000001</v>
      </c>
      <c r="Q24">
        <v>3.81363195499538E-2</v>
      </c>
      <c r="R24">
        <v>4.5926887207416035E-2</v>
      </c>
      <c r="S24">
        <v>0.86698951675832336</v>
      </c>
      <c r="T24">
        <v>0.74023918162490132</v>
      </c>
      <c r="U24">
        <v>1.3379329888179654</v>
      </c>
      <c r="V24">
        <v>0.13062793097674619</v>
      </c>
      <c r="W24">
        <v>464</v>
      </c>
      <c r="X24">
        <v>556</v>
      </c>
      <c r="Y24">
        <v>0.94549453702154118</v>
      </c>
      <c r="Z24">
        <v>2.4340976124339227E-2</v>
      </c>
      <c r="AB24">
        <v>8.3997401575175275</v>
      </c>
      <c r="AC24">
        <v>7.5180651706319992</v>
      </c>
      <c r="AD24">
        <v>5.6191642133542468</v>
      </c>
    </row>
    <row r="25" spans="1:31" x14ac:dyDescent="0.3">
      <c r="A25">
        <v>23</v>
      </c>
      <c r="B25" t="s">
        <v>190</v>
      </c>
      <c r="C25" t="s">
        <v>189</v>
      </c>
      <c r="D25">
        <v>1</v>
      </c>
      <c r="E25" t="s">
        <v>21</v>
      </c>
      <c r="F25">
        <v>3</v>
      </c>
      <c r="G25" t="s">
        <v>28</v>
      </c>
      <c r="H25" t="s">
        <v>259</v>
      </c>
      <c r="I25" s="13"/>
      <c r="J25">
        <v>0.16400000000000001</v>
      </c>
      <c r="K25">
        <v>8.2000000000000003E-2</v>
      </c>
      <c r="L25">
        <v>3.3</v>
      </c>
      <c r="M25">
        <v>3.38</v>
      </c>
      <c r="N25">
        <v>3.77</v>
      </c>
      <c r="O25">
        <v>2.5099999999999998</v>
      </c>
      <c r="P25">
        <f t="shared" si="0"/>
        <v>3.2399999999999998</v>
      </c>
      <c r="Q25">
        <v>3.971503003506411E-2</v>
      </c>
      <c r="R25">
        <v>5.8124427076717305E-2</v>
      </c>
      <c r="S25">
        <v>0.96534324211024169</v>
      </c>
      <c r="T25">
        <v>0.83143615112948288</v>
      </c>
      <c r="U25">
        <v>1.2356413148528973</v>
      </c>
      <c r="V25">
        <v>8.0171096145995754E-2</v>
      </c>
      <c r="W25">
        <v>439</v>
      </c>
      <c r="X25">
        <v>506</v>
      </c>
      <c r="Y25">
        <v>0.98305476716072748</v>
      </c>
      <c r="Z25">
        <v>7.4222864271384402E-3</v>
      </c>
      <c r="AB25">
        <v>6.159065876743564</v>
      </c>
      <c r="AC25">
        <v>5.5124542693934755</v>
      </c>
      <c r="AD25">
        <v>4.4612090929071364</v>
      </c>
    </row>
    <row r="26" spans="1:31" x14ac:dyDescent="0.3">
      <c r="A26">
        <v>24</v>
      </c>
      <c r="B26" t="s">
        <v>190</v>
      </c>
      <c r="C26" t="s">
        <v>189</v>
      </c>
      <c r="D26">
        <v>1</v>
      </c>
      <c r="E26" t="s">
        <v>21</v>
      </c>
      <c r="F26">
        <v>8</v>
      </c>
      <c r="G26" t="s">
        <v>29</v>
      </c>
      <c r="H26" t="s">
        <v>260</v>
      </c>
      <c r="I26" s="13"/>
      <c r="J26">
        <v>0.11700000000000001</v>
      </c>
      <c r="K26">
        <v>5.1999999999999998E-2</v>
      </c>
      <c r="L26">
        <v>2.98</v>
      </c>
      <c r="M26">
        <v>1.65</v>
      </c>
      <c r="N26">
        <v>2.48</v>
      </c>
      <c r="O26">
        <v>1.55</v>
      </c>
      <c r="P26">
        <f t="shared" si="0"/>
        <v>2.165</v>
      </c>
      <c r="Q26">
        <v>6.9646036635834005E-2</v>
      </c>
      <c r="R26">
        <v>6.7953047398727817E-2</v>
      </c>
      <c r="S26">
        <v>0.78189142036124792</v>
      </c>
      <c r="T26">
        <v>0.66758208022148546</v>
      </c>
      <c r="U26">
        <v>1.1677910622754855</v>
      </c>
      <c r="V26">
        <v>0.17549532952031696</v>
      </c>
      <c r="W26">
        <v>511</v>
      </c>
      <c r="X26">
        <v>510</v>
      </c>
      <c r="Y26">
        <v>1.1360066746623561</v>
      </c>
      <c r="Z26">
        <v>-5.5380883100804516E-2</v>
      </c>
      <c r="AB26">
        <v>0.66898311349649831</v>
      </c>
      <c r="AC26">
        <v>0.59808837387899594</v>
      </c>
      <c r="AD26">
        <v>0.51215358055027238</v>
      </c>
      <c r="AE26" t="s">
        <v>214</v>
      </c>
    </row>
    <row r="27" spans="1:31" x14ac:dyDescent="0.3">
      <c r="A27">
        <v>25</v>
      </c>
      <c r="B27" t="s">
        <v>190</v>
      </c>
      <c r="C27" t="s">
        <v>189</v>
      </c>
      <c r="D27">
        <v>1</v>
      </c>
      <c r="E27" t="s">
        <v>21</v>
      </c>
      <c r="F27">
        <v>10</v>
      </c>
      <c r="G27" t="s">
        <v>27</v>
      </c>
      <c r="H27" t="s">
        <v>261</v>
      </c>
      <c r="I27" s="13"/>
      <c r="J27">
        <v>0.83</v>
      </c>
      <c r="K27">
        <v>0.252</v>
      </c>
      <c r="L27">
        <v>1.89</v>
      </c>
      <c r="M27">
        <v>1.99</v>
      </c>
      <c r="N27">
        <v>1.9</v>
      </c>
      <c r="O27">
        <v>1.89</v>
      </c>
      <c r="P27">
        <f t="shared" si="0"/>
        <v>1.9174999999999998</v>
      </c>
      <c r="Q27">
        <v>5.397755997839615E-2</v>
      </c>
      <c r="R27">
        <v>6.5357493333630515E-2</v>
      </c>
      <c r="S27">
        <v>0.75611664354604302</v>
      </c>
      <c r="T27">
        <v>0.72417876545552473</v>
      </c>
      <c r="U27">
        <v>1.1847046127217884</v>
      </c>
      <c r="V27">
        <v>0.14015421381988472</v>
      </c>
      <c r="W27">
        <v>546</v>
      </c>
      <c r="X27">
        <v>602</v>
      </c>
      <c r="Y27">
        <v>1.0279558498896246</v>
      </c>
      <c r="Z27">
        <v>-1.1974462362501216E-2</v>
      </c>
      <c r="AB27">
        <v>3.9879924257363584</v>
      </c>
      <c r="AC27">
        <v>3.5691096882177007</v>
      </c>
      <c r="AD27">
        <v>3.0126578810374371</v>
      </c>
    </row>
    <row r="28" spans="1:31" x14ac:dyDescent="0.3">
      <c r="A28">
        <v>26</v>
      </c>
      <c r="B28" t="s">
        <v>190</v>
      </c>
      <c r="C28" t="s">
        <v>189</v>
      </c>
      <c r="D28">
        <v>1</v>
      </c>
      <c r="E28" t="s">
        <v>21</v>
      </c>
      <c r="F28">
        <v>11</v>
      </c>
      <c r="G28" t="s">
        <v>22</v>
      </c>
      <c r="H28" t="s">
        <v>262</v>
      </c>
      <c r="I28" s="13"/>
      <c r="J28">
        <v>1.6519999999999999</v>
      </c>
      <c r="K28">
        <v>0.66500000000000004</v>
      </c>
      <c r="L28">
        <v>4.2</v>
      </c>
      <c r="M28">
        <v>4.0199999999999996</v>
      </c>
      <c r="N28">
        <v>4.32</v>
      </c>
      <c r="O28">
        <v>4.16</v>
      </c>
      <c r="P28">
        <f t="shared" si="0"/>
        <v>4.1749999999999998</v>
      </c>
      <c r="Q28">
        <v>3.1945902844356902E-2</v>
      </c>
      <c r="R28">
        <v>5.8544163912750115E-2</v>
      </c>
      <c r="S28">
        <v>0.72685261936339518</v>
      </c>
      <c r="T28">
        <v>0.86311647649937617</v>
      </c>
      <c r="U28">
        <v>1.2325163919121405</v>
      </c>
      <c r="V28">
        <v>6.393059282754987E-2</v>
      </c>
      <c r="W28">
        <v>428</v>
      </c>
      <c r="X28">
        <v>582</v>
      </c>
      <c r="Y28">
        <v>0.83273806805206674</v>
      </c>
      <c r="Z28">
        <v>7.9491581412253348E-2</v>
      </c>
      <c r="AB28">
        <v>17.948338606130875</v>
      </c>
      <c r="AC28">
        <v>16.064759251396197</v>
      </c>
      <c r="AD28">
        <v>13.034114074923693</v>
      </c>
    </row>
    <row r="29" spans="1:31" x14ac:dyDescent="0.3">
      <c r="A29">
        <v>27</v>
      </c>
      <c r="B29" t="s">
        <v>190</v>
      </c>
      <c r="C29" t="s">
        <v>189</v>
      </c>
      <c r="D29">
        <v>1</v>
      </c>
      <c r="E29" t="s">
        <v>21</v>
      </c>
      <c r="F29">
        <v>15</v>
      </c>
      <c r="G29" t="s">
        <v>23</v>
      </c>
      <c r="H29" t="s">
        <v>263</v>
      </c>
      <c r="I29" s="13"/>
      <c r="J29">
        <v>0.19700000000000001</v>
      </c>
      <c r="K29">
        <v>0.63</v>
      </c>
      <c r="L29">
        <v>1.8</v>
      </c>
      <c r="M29">
        <v>1.9</v>
      </c>
      <c r="N29">
        <v>1.85</v>
      </c>
      <c r="O29">
        <v>1.7</v>
      </c>
      <c r="P29">
        <f t="shared" si="0"/>
        <v>1.8125000000000002</v>
      </c>
      <c r="Q29">
        <v>2.5382533995543022E-2</v>
      </c>
      <c r="R29">
        <v>4.7307203489606132E-2</v>
      </c>
      <c r="S29">
        <v>0.80188410746812377</v>
      </c>
      <c r="T29">
        <v>0.97625811563284892</v>
      </c>
      <c r="U29">
        <v>1.3250727240065834</v>
      </c>
      <c r="V29">
        <v>1.0435342809994344E-2</v>
      </c>
      <c r="W29">
        <v>419</v>
      </c>
      <c r="X29">
        <v>623</v>
      </c>
      <c r="Y29">
        <v>0.7613270627379467</v>
      </c>
      <c r="Z29">
        <v>0.11842873215485769</v>
      </c>
      <c r="AB29">
        <v>26.758648447278592</v>
      </c>
      <c r="AC29">
        <v>23.950500273824517</v>
      </c>
      <c r="AD29">
        <v>18.074857205879308</v>
      </c>
    </row>
    <row r="30" spans="1:31" x14ac:dyDescent="0.3">
      <c r="A30">
        <v>28</v>
      </c>
      <c r="B30" t="s">
        <v>190</v>
      </c>
      <c r="C30" t="s">
        <v>189</v>
      </c>
      <c r="D30">
        <v>1</v>
      </c>
      <c r="E30" t="s">
        <v>21</v>
      </c>
      <c r="F30">
        <v>14</v>
      </c>
      <c r="G30" t="s">
        <v>26</v>
      </c>
      <c r="H30" t="s">
        <v>264</v>
      </c>
      <c r="I30" s="13"/>
      <c r="J30">
        <v>15.656000000000001</v>
      </c>
      <c r="K30">
        <v>4.2569999999999997</v>
      </c>
      <c r="L30">
        <v>2.04</v>
      </c>
      <c r="M30">
        <v>1.86</v>
      </c>
      <c r="N30">
        <v>2.93</v>
      </c>
      <c r="O30">
        <v>2.09</v>
      </c>
      <c r="P30">
        <f t="shared" si="0"/>
        <v>2.23</v>
      </c>
      <c r="Q30">
        <v>3.756067699070921E-2</v>
      </c>
      <c r="R30">
        <v>8.1671870175452105E-2</v>
      </c>
      <c r="S30">
        <v>0.81153593309477334</v>
      </c>
      <c r="T30">
        <v>0.94755799497329962</v>
      </c>
      <c r="U30">
        <v>1.087927499540924</v>
      </c>
      <c r="V30">
        <v>2.3394199696471975E-2</v>
      </c>
      <c r="W30">
        <v>337</v>
      </c>
      <c r="X30">
        <v>511</v>
      </c>
      <c r="Y30">
        <v>0.74619758258629443</v>
      </c>
      <c r="Z30">
        <v>0.1271461622519485</v>
      </c>
      <c r="AB30">
        <v>28.965740584964983</v>
      </c>
      <c r="AC30">
        <v>25.92596508409671</v>
      </c>
      <c r="AD30">
        <v>23.830600012442709</v>
      </c>
    </row>
    <row r="31" spans="1:31" x14ac:dyDescent="0.3">
      <c r="A31">
        <v>29</v>
      </c>
      <c r="B31" t="s">
        <v>190</v>
      </c>
      <c r="C31" t="s">
        <v>189</v>
      </c>
      <c r="D31">
        <v>2</v>
      </c>
      <c r="E31" t="s">
        <v>21</v>
      </c>
      <c r="F31">
        <v>4</v>
      </c>
      <c r="G31" t="s">
        <v>24</v>
      </c>
      <c r="H31" t="s">
        <v>265</v>
      </c>
      <c r="I31" s="13"/>
      <c r="J31">
        <v>1.365</v>
      </c>
      <c r="K31">
        <v>0.433</v>
      </c>
      <c r="L31">
        <v>3.88</v>
      </c>
      <c r="M31">
        <v>2.4900000000000002</v>
      </c>
      <c r="N31">
        <v>4.3499999999999996</v>
      </c>
      <c r="O31">
        <v>4.29</v>
      </c>
      <c r="P31">
        <f t="shared" si="0"/>
        <v>3.7524999999999995</v>
      </c>
      <c r="Q31">
        <v>4.5977832446180256E-2</v>
      </c>
      <c r="R31">
        <v>0.17396743651460825</v>
      </c>
      <c r="S31">
        <v>0.95825694545342033</v>
      </c>
      <c r="T31">
        <v>0.83051076639481458</v>
      </c>
      <c r="U31">
        <v>0.75953203600193053</v>
      </c>
      <c r="V31">
        <v>8.0654733163760303E-2</v>
      </c>
      <c r="W31">
        <v>524</v>
      </c>
      <c r="X31">
        <v>680</v>
      </c>
      <c r="Y31">
        <v>0.87290628846041141</v>
      </c>
      <c r="Z31">
        <v>5.9032377816836221E-2</v>
      </c>
      <c r="AB31">
        <v>14.005283116219983</v>
      </c>
      <c r="AC31">
        <v>12.535461488935379</v>
      </c>
      <c r="AD31">
        <v>16.50419059993872</v>
      </c>
    </row>
    <row r="32" spans="1:31" x14ac:dyDescent="0.3">
      <c r="A32">
        <v>30</v>
      </c>
      <c r="B32" t="s">
        <v>190</v>
      </c>
      <c r="C32" t="s">
        <v>189</v>
      </c>
      <c r="D32">
        <v>2</v>
      </c>
      <c r="E32" t="s">
        <v>21</v>
      </c>
      <c r="F32">
        <v>7</v>
      </c>
      <c r="G32" t="s">
        <v>29</v>
      </c>
      <c r="H32" t="s">
        <v>266</v>
      </c>
      <c r="I32" s="13"/>
      <c r="J32">
        <v>2.2160000000000002</v>
      </c>
      <c r="K32">
        <v>0.71499999999999997</v>
      </c>
      <c r="L32">
        <v>3.72</v>
      </c>
      <c r="M32">
        <v>3.2</v>
      </c>
      <c r="N32">
        <v>3.91</v>
      </c>
      <c r="O32">
        <v>3.85</v>
      </c>
      <c r="P32">
        <f t="shared" si="0"/>
        <v>3.67</v>
      </c>
      <c r="Q32">
        <v>4.038859291567147E-2</v>
      </c>
      <c r="R32">
        <v>4.464932044487023E-2</v>
      </c>
      <c r="S32">
        <v>0.70620946028115272</v>
      </c>
      <c r="T32">
        <v>0.90277052184894935</v>
      </c>
      <c r="U32">
        <v>1.3501851466139316</v>
      </c>
      <c r="V32">
        <v>4.4422630373352569E-2</v>
      </c>
      <c r="W32">
        <v>423</v>
      </c>
      <c r="X32">
        <v>616</v>
      </c>
      <c r="Y32">
        <v>0.77739284250490759</v>
      </c>
      <c r="Z32">
        <v>0.10935946225753437</v>
      </c>
      <c r="AB32">
        <v>24.553573300894715</v>
      </c>
      <c r="AC32">
        <v>21.976836840980827</v>
      </c>
      <c r="AD32">
        <v>16.276906094023879</v>
      </c>
    </row>
    <row r="33" spans="1:30" x14ac:dyDescent="0.3">
      <c r="A33">
        <v>31</v>
      </c>
      <c r="B33" t="s">
        <v>190</v>
      </c>
      <c r="C33" t="s">
        <v>189</v>
      </c>
      <c r="D33">
        <v>2</v>
      </c>
      <c r="E33" t="s">
        <v>21</v>
      </c>
      <c r="F33">
        <v>8</v>
      </c>
      <c r="G33" t="s">
        <v>26</v>
      </c>
      <c r="H33" t="s">
        <v>267</v>
      </c>
      <c r="I33" s="13"/>
      <c r="J33">
        <v>8.08</v>
      </c>
      <c r="K33">
        <v>2.1309999999999998</v>
      </c>
      <c r="L33">
        <v>2.23</v>
      </c>
      <c r="M33">
        <v>2.5</v>
      </c>
      <c r="N33">
        <v>2.4500000000000002</v>
      </c>
      <c r="O33">
        <v>2.11</v>
      </c>
      <c r="P33">
        <f t="shared" si="0"/>
        <v>2.3225000000000002</v>
      </c>
      <c r="Q33">
        <v>3.1174521618687064E-2</v>
      </c>
      <c r="R33">
        <v>4.9163345701898377E-2</v>
      </c>
      <c r="S33">
        <v>0.7711940856508267</v>
      </c>
      <c r="T33">
        <v>1.0217073189553916</v>
      </c>
      <c r="U33">
        <v>1.3083585698370395</v>
      </c>
      <c r="V33">
        <v>-9.3265044415547244E-3</v>
      </c>
      <c r="W33">
        <v>269</v>
      </c>
      <c r="X33">
        <v>521</v>
      </c>
      <c r="Y33">
        <v>0.58327144661792296</v>
      </c>
      <c r="Z33">
        <v>0.2341292834359176</v>
      </c>
      <c r="AB33">
        <v>63.041996267008614</v>
      </c>
      <c r="AC33">
        <v>56.425723591118427</v>
      </c>
      <c r="AD33">
        <v>43.127109717442707</v>
      </c>
    </row>
    <row r="34" spans="1:30" x14ac:dyDescent="0.3">
      <c r="A34">
        <v>32</v>
      </c>
      <c r="B34" t="s">
        <v>190</v>
      </c>
      <c r="C34" t="s">
        <v>189</v>
      </c>
      <c r="D34">
        <v>2</v>
      </c>
      <c r="E34" t="s">
        <v>21</v>
      </c>
      <c r="F34">
        <v>11</v>
      </c>
      <c r="G34" t="s">
        <v>27</v>
      </c>
      <c r="H34" t="s">
        <v>268</v>
      </c>
      <c r="I34" s="13"/>
      <c r="J34">
        <v>1.64</v>
      </c>
      <c r="K34">
        <v>0.435</v>
      </c>
      <c r="L34">
        <v>2.1</v>
      </c>
      <c r="M34">
        <v>2.02</v>
      </c>
      <c r="N34">
        <v>2.5</v>
      </c>
      <c r="O34">
        <v>2.5</v>
      </c>
      <c r="P34">
        <f t="shared" si="0"/>
        <v>2.2800000000000002</v>
      </c>
      <c r="Q34">
        <v>3.4850878043617244E-2</v>
      </c>
      <c r="R34">
        <v>0.118464524817096</v>
      </c>
      <c r="S34">
        <v>0.80156789325582867</v>
      </c>
      <c r="T34">
        <v>0.93840599029472116</v>
      </c>
      <c r="U34">
        <v>0.92641168326381707</v>
      </c>
      <c r="V34">
        <v>2.760922857407137E-2</v>
      </c>
      <c r="W34">
        <v>340</v>
      </c>
      <c r="X34">
        <v>507</v>
      </c>
      <c r="Y34">
        <v>0.75884335453412899</v>
      </c>
      <c r="Z34">
        <v>0.11984786479304162</v>
      </c>
      <c r="AB34">
        <v>27.112097648030691</v>
      </c>
      <c r="AC34">
        <v>24.266856353525164</v>
      </c>
      <c r="AD34">
        <v>26.194462777100597</v>
      </c>
    </row>
    <row r="35" spans="1:30" x14ac:dyDescent="0.3">
      <c r="A35">
        <v>33</v>
      </c>
      <c r="B35" t="s">
        <v>190</v>
      </c>
      <c r="C35" t="s">
        <v>189</v>
      </c>
      <c r="D35">
        <v>2</v>
      </c>
      <c r="E35" t="s">
        <v>21</v>
      </c>
      <c r="F35">
        <v>13</v>
      </c>
      <c r="G35" t="s">
        <v>22</v>
      </c>
      <c r="H35" t="s">
        <v>269</v>
      </c>
      <c r="I35" s="13"/>
      <c r="J35">
        <v>2.383</v>
      </c>
      <c r="K35">
        <v>0.93</v>
      </c>
      <c r="L35">
        <v>3.7</v>
      </c>
      <c r="M35">
        <v>4.2</v>
      </c>
      <c r="N35">
        <v>4.47</v>
      </c>
      <c r="O35">
        <v>3.15</v>
      </c>
      <c r="P35">
        <f t="shared" si="0"/>
        <v>3.8800000000000003</v>
      </c>
      <c r="Q35">
        <v>4.1083504443863994E-2</v>
      </c>
      <c r="R35">
        <v>5.9636405776793952E-2</v>
      </c>
      <c r="S35">
        <v>0.81538870343366188</v>
      </c>
      <c r="T35">
        <v>0.8283246719319145</v>
      </c>
      <c r="U35">
        <v>1.2244885389001734</v>
      </c>
      <c r="V35">
        <v>8.1799402839657531E-2</v>
      </c>
      <c r="W35">
        <v>525</v>
      </c>
      <c r="X35">
        <v>664</v>
      </c>
      <c r="Y35">
        <v>0.89571637222144418</v>
      </c>
      <c r="Z35">
        <v>4.7829487524460694E-2</v>
      </c>
      <c r="AB35">
        <v>12.046485813430404</v>
      </c>
      <c r="AC35">
        <v>10.782195830318019</v>
      </c>
      <c r="AD35">
        <v>8.8054689674780526</v>
      </c>
    </row>
    <row r="36" spans="1:30" x14ac:dyDescent="0.3">
      <c r="A36">
        <v>34</v>
      </c>
      <c r="B36" t="s">
        <v>190</v>
      </c>
      <c r="C36" t="s">
        <v>189</v>
      </c>
      <c r="D36">
        <v>2</v>
      </c>
      <c r="E36" t="s">
        <v>21</v>
      </c>
      <c r="F36">
        <v>15</v>
      </c>
      <c r="G36" t="s">
        <v>23</v>
      </c>
      <c r="H36" t="s">
        <v>270</v>
      </c>
      <c r="I36" s="13"/>
      <c r="J36">
        <v>3.2040000000000002</v>
      </c>
      <c r="K36">
        <v>1</v>
      </c>
      <c r="L36">
        <v>2.5</v>
      </c>
      <c r="M36">
        <v>1.7</v>
      </c>
      <c r="N36">
        <v>2.17</v>
      </c>
      <c r="O36">
        <v>2.44</v>
      </c>
      <c r="P36">
        <f t="shared" si="0"/>
        <v>2.2025000000000001</v>
      </c>
      <c r="Q36">
        <v>4.0216482434496735E-2</v>
      </c>
      <c r="R36">
        <v>0.1392419716697568</v>
      </c>
      <c r="S36">
        <v>0.75774696498026239</v>
      </c>
      <c r="T36">
        <v>1.0046021012563762</v>
      </c>
      <c r="U36">
        <v>0.85622983572362277</v>
      </c>
      <c r="V36">
        <v>-1.9940822080565346E-3</v>
      </c>
      <c r="W36">
        <v>389</v>
      </c>
      <c r="X36">
        <v>652</v>
      </c>
      <c r="Y36">
        <v>0.67503209373408057</v>
      </c>
      <c r="Z36">
        <v>0.17067557857597912</v>
      </c>
      <c r="AB36">
        <v>41.270912409685266</v>
      </c>
      <c r="AC36">
        <v>36.939692604179108</v>
      </c>
      <c r="AD36">
        <v>43.142262816572355</v>
      </c>
    </row>
    <row r="37" spans="1:30" x14ac:dyDescent="0.3">
      <c r="A37">
        <v>35</v>
      </c>
      <c r="B37" t="s">
        <v>190</v>
      </c>
      <c r="C37" t="s">
        <v>189</v>
      </c>
      <c r="D37">
        <v>2</v>
      </c>
      <c r="E37" t="s">
        <v>21</v>
      </c>
      <c r="F37">
        <v>16</v>
      </c>
      <c r="G37" t="s">
        <v>30</v>
      </c>
      <c r="H37" t="s">
        <v>271</v>
      </c>
      <c r="I37" s="13"/>
      <c r="J37">
        <v>5.65</v>
      </c>
      <c r="K37">
        <v>2.39</v>
      </c>
      <c r="L37">
        <v>9.3800000000000008</v>
      </c>
      <c r="M37">
        <v>11.8</v>
      </c>
      <c r="N37">
        <v>9.09</v>
      </c>
      <c r="O37">
        <v>10.35</v>
      </c>
      <c r="P37">
        <f t="shared" si="0"/>
        <v>10.154999999999999</v>
      </c>
      <c r="Q37">
        <v>2.6974469925577078E-2</v>
      </c>
      <c r="R37">
        <v>7.8166721901036587E-2</v>
      </c>
      <c r="S37">
        <v>0.73279831835225684</v>
      </c>
      <c r="T37">
        <v>0.93209425764507814</v>
      </c>
      <c r="U37">
        <v>1.106978100786169</v>
      </c>
      <c r="V37">
        <v>3.0540167575988243E-2</v>
      </c>
      <c r="W37">
        <v>445</v>
      </c>
      <c r="X37">
        <v>670</v>
      </c>
      <c r="Y37">
        <v>0.75188959828687008</v>
      </c>
      <c r="Z37">
        <v>0.12384592320451106</v>
      </c>
      <c r="AB37">
        <v>28.120084993102353</v>
      </c>
      <c r="AC37">
        <v>25.169058803757292</v>
      </c>
      <c r="AD37">
        <v>22.736726937852143</v>
      </c>
    </row>
    <row r="38" spans="1:30" x14ac:dyDescent="0.3">
      <c r="A38">
        <v>36</v>
      </c>
      <c r="B38" t="s">
        <v>190</v>
      </c>
      <c r="C38" t="s">
        <v>189</v>
      </c>
      <c r="D38">
        <v>3</v>
      </c>
      <c r="E38" t="s">
        <v>21</v>
      </c>
      <c r="F38">
        <v>3</v>
      </c>
      <c r="G38" t="s">
        <v>26</v>
      </c>
      <c r="H38" t="s">
        <v>272</v>
      </c>
      <c r="I38" s="13"/>
      <c r="J38">
        <v>5.7229999999999999</v>
      </c>
      <c r="K38">
        <v>1.268</v>
      </c>
      <c r="L38">
        <v>1.36</v>
      </c>
      <c r="M38">
        <v>1.28</v>
      </c>
      <c r="N38">
        <v>1.41</v>
      </c>
      <c r="O38">
        <v>1.39</v>
      </c>
      <c r="P38">
        <f t="shared" si="0"/>
        <v>1.3599999999999999</v>
      </c>
      <c r="Q38">
        <v>2.7261593134868936E-2</v>
      </c>
      <c r="R38">
        <v>8.5807377499570014E-2</v>
      </c>
      <c r="S38">
        <v>0.77130903247314253</v>
      </c>
      <c r="T38">
        <v>0.912764940755319</v>
      </c>
      <c r="U38">
        <v>1.0664753710136097</v>
      </c>
      <c r="V38">
        <v>3.9641049493562709E-2</v>
      </c>
      <c r="W38">
        <v>457</v>
      </c>
      <c r="X38">
        <v>665</v>
      </c>
      <c r="Y38">
        <v>0.77808076873133369</v>
      </c>
      <c r="Z38">
        <v>0.10897531869969569</v>
      </c>
      <c r="AB38">
        <v>24.462224548083885</v>
      </c>
      <c r="AC38">
        <v>21.895074594979839</v>
      </c>
      <c r="AD38">
        <v>20.530314332688352</v>
      </c>
    </row>
    <row r="39" spans="1:30" x14ac:dyDescent="0.3">
      <c r="A39">
        <v>37</v>
      </c>
      <c r="B39" t="s">
        <v>190</v>
      </c>
      <c r="C39" t="s">
        <v>189</v>
      </c>
      <c r="D39">
        <v>3</v>
      </c>
      <c r="E39" t="s">
        <v>21</v>
      </c>
      <c r="F39">
        <v>5</v>
      </c>
      <c r="G39" t="s">
        <v>28</v>
      </c>
      <c r="H39" t="s">
        <v>273</v>
      </c>
      <c r="I39" s="13"/>
      <c r="J39">
        <v>1.1950000000000001</v>
      </c>
      <c r="K39">
        <v>0.46300000000000002</v>
      </c>
      <c r="L39">
        <v>11.31</v>
      </c>
      <c r="M39">
        <v>9.0299999999999994</v>
      </c>
      <c r="N39">
        <v>8.9700000000000006</v>
      </c>
      <c r="O39">
        <v>9.4</v>
      </c>
      <c r="P39">
        <f t="shared" si="0"/>
        <v>9.6775000000000002</v>
      </c>
      <c r="Q39">
        <v>2.819425627426023E-2</v>
      </c>
      <c r="R39">
        <v>0.10004255931145026</v>
      </c>
      <c r="S39">
        <v>0.84208111311693667</v>
      </c>
      <c r="T39">
        <v>0.81711984279240046</v>
      </c>
      <c r="U39">
        <v>0.99981520657945055</v>
      </c>
      <c r="V39">
        <v>8.7714243043459247E-2</v>
      </c>
      <c r="W39">
        <v>448</v>
      </c>
      <c r="X39">
        <v>582</v>
      </c>
      <c r="Y39">
        <v>0.87183375199817315</v>
      </c>
      <c r="Z39">
        <v>5.9566321802830405E-2</v>
      </c>
      <c r="AB39">
        <v>14.102180878498334</v>
      </c>
      <c r="AC39">
        <v>12.622191792748694</v>
      </c>
      <c r="AD39">
        <v>12.624524721854856</v>
      </c>
    </row>
    <row r="40" spans="1:30" x14ac:dyDescent="0.3">
      <c r="A40">
        <v>38</v>
      </c>
      <c r="B40" t="s">
        <v>190</v>
      </c>
      <c r="C40" t="s">
        <v>189</v>
      </c>
      <c r="D40">
        <v>3</v>
      </c>
      <c r="E40" t="s">
        <v>21</v>
      </c>
      <c r="F40">
        <v>6</v>
      </c>
      <c r="G40" t="s">
        <v>27</v>
      </c>
      <c r="H40" t="s">
        <v>274</v>
      </c>
      <c r="I40" s="13"/>
      <c r="J40">
        <v>1.9690000000000001</v>
      </c>
      <c r="K40">
        <v>0.52800000000000002</v>
      </c>
      <c r="L40">
        <v>2.35</v>
      </c>
      <c r="M40">
        <v>2.41</v>
      </c>
      <c r="N40">
        <v>3.41</v>
      </c>
      <c r="O40">
        <v>2.87</v>
      </c>
      <c r="P40">
        <f t="shared" si="0"/>
        <v>2.76</v>
      </c>
      <c r="Q40">
        <v>3.1411690422210467E-2</v>
      </c>
      <c r="R40">
        <v>6.2062442994045196E-2</v>
      </c>
      <c r="S40">
        <v>0.75852575438119207</v>
      </c>
      <c r="T40">
        <v>0.93243471138809986</v>
      </c>
      <c r="U40">
        <v>1.2071711330710448</v>
      </c>
      <c r="V40">
        <v>3.0381567537011565E-2</v>
      </c>
      <c r="W40">
        <v>447</v>
      </c>
      <c r="X40">
        <v>643</v>
      </c>
      <c r="Y40">
        <v>0.78709797398518466</v>
      </c>
      <c r="Z40">
        <v>0.1039712054899208</v>
      </c>
      <c r="AB40">
        <v>23.287480847497982</v>
      </c>
      <c r="AC40">
        <v>20.843612539033572</v>
      </c>
      <c r="AD40">
        <v>17.266493513647394</v>
      </c>
    </row>
    <row r="41" spans="1:30" x14ac:dyDescent="0.3">
      <c r="A41">
        <v>39</v>
      </c>
      <c r="B41" t="s">
        <v>190</v>
      </c>
      <c r="C41" t="s">
        <v>189</v>
      </c>
      <c r="D41">
        <v>3</v>
      </c>
      <c r="E41" t="s">
        <v>21</v>
      </c>
      <c r="F41">
        <v>9</v>
      </c>
      <c r="G41" t="s">
        <v>29</v>
      </c>
      <c r="H41" t="s">
        <v>275</v>
      </c>
      <c r="I41" s="13"/>
      <c r="J41">
        <v>0.26</v>
      </c>
      <c r="K41">
        <v>9.8000000000000004E-2</v>
      </c>
      <c r="L41">
        <v>2.31</v>
      </c>
      <c r="M41">
        <v>1.96</v>
      </c>
      <c r="N41">
        <v>2.35</v>
      </c>
      <c r="O41">
        <v>3.43</v>
      </c>
      <c r="P41">
        <f t="shared" si="0"/>
        <v>2.5124999999999997</v>
      </c>
      <c r="Q41">
        <v>7.7037377961595335E-2</v>
      </c>
      <c r="R41">
        <v>6.1498404374046536E-2</v>
      </c>
      <c r="S41">
        <v>0.58968504218097628</v>
      </c>
      <c r="T41">
        <v>0.67056296225210699</v>
      </c>
      <c r="U41">
        <v>1.2111361522007873</v>
      </c>
      <c r="V41">
        <v>0.17356043798406989</v>
      </c>
      <c r="W41">
        <v>456</v>
      </c>
      <c r="X41">
        <v>536</v>
      </c>
      <c r="Y41">
        <v>0.96392092665624929</v>
      </c>
      <c r="Z41">
        <v>1.5958591123487489E-2</v>
      </c>
      <c r="AB41">
        <v>7.2491871037874347</v>
      </c>
      <c r="AC41">
        <v>6.4882170190260284</v>
      </c>
      <c r="AD41">
        <v>5.3571326454388464</v>
      </c>
    </row>
    <row r="42" spans="1:30" x14ac:dyDescent="0.3">
      <c r="A42">
        <v>40</v>
      </c>
      <c r="B42" t="s">
        <v>190</v>
      </c>
      <c r="C42" t="s">
        <v>189</v>
      </c>
      <c r="D42">
        <v>4</v>
      </c>
      <c r="E42" t="s">
        <v>21</v>
      </c>
      <c r="F42">
        <v>4</v>
      </c>
      <c r="G42" t="s">
        <v>28</v>
      </c>
      <c r="H42" t="s">
        <v>276</v>
      </c>
      <c r="I42" s="13"/>
      <c r="J42">
        <v>3.5950000000000002</v>
      </c>
      <c r="K42">
        <v>1.02</v>
      </c>
      <c r="L42">
        <v>3.79</v>
      </c>
      <c r="M42">
        <v>5.15</v>
      </c>
      <c r="N42">
        <v>3.65</v>
      </c>
      <c r="O42">
        <v>6.09</v>
      </c>
      <c r="P42">
        <f t="shared" si="0"/>
        <v>4.67</v>
      </c>
      <c r="Q42">
        <v>3.9977383252365363E-2</v>
      </c>
      <c r="R42">
        <v>0.40304802738922008</v>
      </c>
      <c r="S42">
        <v>0.88547877486890714</v>
      </c>
      <c r="T42">
        <v>0.95295159013780406</v>
      </c>
      <c r="U42">
        <v>0.39464320004414394</v>
      </c>
      <c r="V42">
        <v>2.0929160925183113E-2</v>
      </c>
      <c r="W42">
        <v>425</v>
      </c>
      <c r="X42">
        <v>616</v>
      </c>
      <c r="Y42">
        <v>0.78108592014151046</v>
      </c>
      <c r="Z42">
        <v>0.10730119071816036</v>
      </c>
      <c r="AB42">
        <v>24.066065382320563</v>
      </c>
      <c r="AC42">
        <v>21.54048988145793</v>
      </c>
      <c r="AD42">
        <v>54.582189377768216</v>
      </c>
    </row>
    <row r="43" spans="1:30" x14ac:dyDescent="0.3">
      <c r="A43">
        <v>41</v>
      </c>
      <c r="B43" t="s">
        <v>190</v>
      </c>
      <c r="C43" t="s">
        <v>189</v>
      </c>
      <c r="D43">
        <v>4</v>
      </c>
      <c r="E43" t="s">
        <v>21</v>
      </c>
      <c r="F43">
        <v>5</v>
      </c>
      <c r="G43" t="s">
        <v>27</v>
      </c>
      <c r="H43" t="s">
        <v>277</v>
      </c>
      <c r="I43" s="13"/>
      <c r="J43">
        <v>1.35</v>
      </c>
      <c r="K43">
        <v>0.251</v>
      </c>
      <c r="L43">
        <v>1.49</v>
      </c>
      <c r="M43">
        <v>1.49</v>
      </c>
      <c r="N43">
        <v>1.55</v>
      </c>
      <c r="O43">
        <v>1.62</v>
      </c>
      <c r="P43">
        <f t="shared" si="0"/>
        <v>1.5375000000000001</v>
      </c>
      <c r="Q43">
        <v>4.7528570149859777E-2</v>
      </c>
      <c r="R43">
        <v>0.2375735880267919</v>
      </c>
      <c r="S43">
        <v>0.83058267662254737</v>
      </c>
      <c r="T43">
        <v>0.93926917178015512</v>
      </c>
      <c r="U43">
        <v>0.62420184320183236</v>
      </c>
      <c r="V43">
        <v>2.7209931624328151E-2</v>
      </c>
      <c r="W43">
        <v>482</v>
      </c>
      <c r="X43">
        <v>721</v>
      </c>
      <c r="Y43">
        <v>0.75690114120973762</v>
      </c>
      <c r="Z43">
        <v>0.12096083995933039</v>
      </c>
      <c r="AB43">
        <v>27.390886741881189</v>
      </c>
      <c r="AC43">
        <v>24.516387544692922</v>
      </c>
      <c r="AD43">
        <v>39.27637800448737</v>
      </c>
    </row>
    <row r="44" spans="1:30" x14ac:dyDescent="0.3">
      <c r="A44">
        <v>42</v>
      </c>
      <c r="B44" t="s">
        <v>190</v>
      </c>
      <c r="C44" t="s">
        <v>189</v>
      </c>
      <c r="D44">
        <v>4</v>
      </c>
      <c r="E44" t="s">
        <v>21</v>
      </c>
      <c r="F44">
        <v>6</v>
      </c>
      <c r="G44" t="s">
        <v>22</v>
      </c>
      <c r="H44" t="s">
        <v>278</v>
      </c>
      <c r="I44" s="13"/>
      <c r="J44">
        <v>2.5019999999999998</v>
      </c>
      <c r="K44">
        <v>0.97</v>
      </c>
      <c r="L44">
        <v>8.3000000000000007</v>
      </c>
      <c r="M44">
        <v>5.72</v>
      </c>
      <c r="N44">
        <v>4.29</v>
      </c>
      <c r="O44">
        <v>4.7300000000000004</v>
      </c>
      <c r="P44">
        <f t="shared" si="0"/>
        <v>5.76</v>
      </c>
      <c r="Q44">
        <v>4.335922741944416E-2</v>
      </c>
      <c r="R44">
        <v>9.9670469787220106E-2</v>
      </c>
      <c r="S44">
        <v>0.81766908350460532</v>
      </c>
      <c r="T44">
        <v>0.92485454261962785</v>
      </c>
      <c r="U44">
        <v>1.0014334947287591</v>
      </c>
      <c r="V44">
        <v>3.3926565969133356E-2</v>
      </c>
      <c r="W44">
        <v>432</v>
      </c>
      <c r="X44">
        <v>663</v>
      </c>
      <c r="Y44">
        <v>0.73755397701656134</v>
      </c>
      <c r="Z44">
        <v>0.13220619085808871</v>
      </c>
      <c r="AB44">
        <v>30.286215358412576</v>
      </c>
      <c r="AC44">
        <v>27.107858512091255</v>
      </c>
      <c r="AD44">
        <v>27.069055164200883</v>
      </c>
    </row>
    <row r="45" spans="1:30" x14ac:dyDescent="0.3">
      <c r="A45">
        <v>43</v>
      </c>
      <c r="B45" t="s">
        <v>190</v>
      </c>
      <c r="C45" t="s">
        <v>189</v>
      </c>
      <c r="D45">
        <v>4</v>
      </c>
      <c r="E45" t="s">
        <v>21</v>
      </c>
      <c r="F45">
        <v>7</v>
      </c>
      <c r="G45" t="s">
        <v>23</v>
      </c>
      <c r="H45" t="s">
        <v>279</v>
      </c>
      <c r="I45" s="13"/>
      <c r="J45">
        <v>2.4169999999999998</v>
      </c>
      <c r="K45">
        <v>0.56699999999999995</v>
      </c>
      <c r="L45">
        <v>1.31</v>
      </c>
      <c r="M45">
        <v>2.31</v>
      </c>
      <c r="N45">
        <v>3.07</v>
      </c>
      <c r="O45">
        <v>1.1000000000000001</v>
      </c>
      <c r="P45">
        <f t="shared" si="0"/>
        <v>1.9474999999999998</v>
      </c>
      <c r="Q45">
        <v>4.6104255297115364E-2</v>
      </c>
      <c r="R45">
        <v>0.26356677019590929</v>
      </c>
      <c r="S45">
        <v>0.82452650974967434</v>
      </c>
      <c r="T45">
        <v>1.009942483740301</v>
      </c>
      <c r="U45">
        <v>0.57910934533089997</v>
      </c>
      <c r="V45">
        <v>-4.296641400988328E-3</v>
      </c>
      <c r="W45">
        <v>394</v>
      </c>
      <c r="X45">
        <v>646</v>
      </c>
      <c r="Y45">
        <v>0.69012381226605246</v>
      </c>
      <c r="Z45">
        <v>0.16107298729138983</v>
      </c>
      <c r="AB45">
        <v>38.37241338648905</v>
      </c>
      <c r="AC45">
        <v>34.345402066462881</v>
      </c>
      <c r="AD45">
        <v>59.307283405758376</v>
      </c>
    </row>
    <row r="46" spans="1:30" x14ac:dyDescent="0.3">
      <c r="A46">
        <v>44</v>
      </c>
      <c r="B46" t="s">
        <v>190</v>
      </c>
      <c r="C46" t="s">
        <v>189</v>
      </c>
      <c r="D46">
        <v>4</v>
      </c>
      <c r="E46" t="s">
        <v>21</v>
      </c>
      <c r="F46">
        <v>9</v>
      </c>
      <c r="G46" t="s">
        <v>29</v>
      </c>
      <c r="H46" t="s">
        <v>280</v>
      </c>
      <c r="I46" s="13"/>
      <c r="J46">
        <v>1.252</v>
      </c>
      <c r="K46">
        <v>0.38500000000000001</v>
      </c>
      <c r="L46">
        <v>2.96</v>
      </c>
      <c r="M46">
        <v>3.27</v>
      </c>
      <c r="N46">
        <v>3.48</v>
      </c>
      <c r="O46">
        <v>3.44</v>
      </c>
      <c r="P46">
        <f t="shared" si="0"/>
        <v>3.2875000000000001</v>
      </c>
      <c r="Q46">
        <v>4.9882758627951433E-2</v>
      </c>
      <c r="R46">
        <v>0.10374434090992717</v>
      </c>
      <c r="S46">
        <v>0.82334043552531344</v>
      </c>
      <c r="T46">
        <v>0.86800146643726006</v>
      </c>
      <c r="U46">
        <v>0.98403558404837232</v>
      </c>
      <c r="V46">
        <v>6.1479541107987215E-2</v>
      </c>
      <c r="W46">
        <v>419</v>
      </c>
      <c r="X46">
        <v>587</v>
      </c>
      <c r="Y46">
        <v>0.80817795890643584</v>
      </c>
      <c r="Z46">
        <v>9.2492998060457882E-2</v>
      </c>
      <c r="AB46">
        <v>20.699745099278331</v>
      </c>
      <c r="AC46">
        <v>18.527437701353982</v>
      </c>
      <c r="AD46">
        <v>18.828015980002636</v>
      </c>
    </row>
    <row r="47" spans="1:30" x14ac:dyDescent="0.3">
      <c r="A47">
        <v>45</v>
      </c>
      <c r="B47" t="s">
        <v>190</v>
      </c>
      <c r="C47" t="s">
        <v>189</v>
      </c>
      <c r="D47">
        <v>4</v>
      </c>
      <c r="E47" t="s">
        <v>21</v>
      </c>
      <c r="F47">
        <v>11</v>
      </c>
      <c r="G47" t="s">
        <v>25</v>
      </c>
      <c r="H47" t="s">
        <v>281</v>
      </c>
      <c r="I47" s="13"/>
      <c r="J47">
        <v>2.802</v>
      </c>
      <c r="K47">
        <v>0.73799999999999999</v>
      </c>
      <c r="L47">
        <v>1.23</v>
      </c>
      <c r="M47">
        <v>1.36</v>
      </c>
      <c r="N47">
        <v>1.22</v>
      </c>
      <c r="O47">
        <v>1.52</v>
      </c>
      <c r="P47">
        <f t="shared" si="0"/>
        <v>1.3325</v>
      </c>
      <c r="Q47">
        <v>6.8882902439708932E-2</v>
      </c>
      <c r="R47">
        <v>0.12558381527910215</v>
      </c>
      <c r="S47">
        <v>0.79375140860942073</v>
      </c>
      <c r="T47">
        <v>0.94686665157845096</v>
      </c>
      <c r="U47">
        <v>0.90106632706289602</v>
      </c>
      <c r="V47">
        <v>2.3711178928513103E-2</v>
      </c>
      <c r="W47">
        <v>436</v>
      </c>
      <c r="X47">
        <v>654</v>
      </c>
      <c r="Y47">
        <v>0.7546906106529071</v>
      </c>
      <c r="Z47">
        <v>0.12223105317144445</v>
      </c>
      <c r="AB47">
        <v>27.71077188220066</v>
      </c>
      <c r="AC47">
        <v>24.802701826861036</v>
      </c>
      <c r="AD47">
        <v>27.525944630188985</v>
      </c>
    </row>
    <row r="48" spans="1:30" x14ac:dyDescent="0.3">
      <c r="A48">
        <v>46</v>
      </c>
      <c r="B48" t="s">
        <v>190</v>
      </c>
      <c r="C48" t="s">
        <v>189</v>
      </c>
      <c r="D48">
        <v>4</v>
      </c>
      <c r="E48" t="s">
        <v>21</v>
      </c>
      <c r="F48">
        <v>14</v>
      </c>
      <c r="G48" t="s">
        <v>24</v>
      </c>
      <c r="H48" t="s">
        <v>282</v>
      </c>
      <c r="I48" s="13"/>
      <c r="J48">
        <v>1.5249999999999999</v>
      </c>
      <c r="K48">
        <v>0.48199999999999998</v>
      </c>
      <c r="L48">
        <v>3.65</v>
      </c>
      <c r="M48">
        <v>5.13</v>
      </c>
      <c r="N48">
        <v>3.66</v>
      </c>
      <c r="O48">
        <v>4.7</v>
      </c>
      <c r="P48">
        <f t="shared" si="0"/>
        <v>4.2850000000000001</v>
      </c>
      <c r="Q48">
        <v>2.9865404677094618E-2</v>
      </c>
      <c r="R48">
        <v>0.26623545216071187</v>
      </c>
      <c r="S48">
        <v>0.87271837034410005</v>
      </c>
      <c r="T48">
        <v>0.97545312476374535</v>
      </c>
      <c r="U48">
        <v>0.57473411395298446</v>
      </c>
      <c r="V48">
        <v>1.0793595716492682E-2</v>
      </c>
      <c r="W48">
        <v>436</v>
      </c>
      <c r="X48">
        <v>668</v>
      </c>
      <c r="Y48">
        <v>0.73882624346200509</v>
      </c>
      <c r="Z48">
        <v>0.13145768660982535</v>
      </c>
      <c r="AB48">
        <v>30.089061792603594</v>
      </c>
      <c r="AC48">
        <v>26.931395918851095</v>
      </c>
      <c r="AD48">
        <v>46.858878331788375</v>
      </c>
    </row>
    <row r="49" spans="1:30" x14ac:dyDescent="0.3">
      <c r="A49">
        <v>47</v>
      </c>
      <c r="B49" t="s">
        <v>193</v>
      </c>
      <c r="C49" t="s">
        <v>188</v>
      </c>
      <c r="D49">
        <v>1</v>
      </c>
      <c r="E49" t="s">
        <v>21</v>
      </c>
      <c r="F49">
        <v>3</v>
      </c>
      <c r="G49" t="s">
        <v>29</v>
      </c>
      <c r="H49" t="s">
        <v>283</v>
      </c>
      <c r="I49" s="13"/>
      <c r="J49">
        <v>0.85399999999999998</v>
      </c>
      <c r="K49">
        <v>0.26400000000000001</v>
      </c>
      <c r="L49">
        <v>2.5299999999999998</v>
      </c>
      <c r="M49">
        <v>2.08</v>
      </c>
      <c r="N49">
        <v>2.48</v>
      </c>
      <c r="O49">
        <v>2.27</v>
      </c>
      <c r="P49">
        <f t="shared" si="0"/>
        <v>2.34</v>
      </c>
      <c r="Q49">
        <v>0.12245371972135294</v>
      </c>
      <c r="R49">
        <v>0.40404693337755132</v>
      </c>
      <c r="S49">
        <v>0.79406847834531114</v>
      </c>
      <c r="T49">
        <v>0.89988641051878393</v>
      </c>
      <c r="U49">
        <v>0.39356818507993818</v>
      </c>
      <c r="V49">
        <v>4.581230655869762E-2</v>
      </c>
      <c r="W49">
        <v>462</v>
      </c>
      <c r="X49">
        <v>661</v>
      </c>
      <c r="Y49">
        <v>0.78115127337201817</v>
      </c>
      <c r="Z49">
        <v>0.10726485494595053</v>
      </c>
      <c r="AB49">
        <v>24.057502123747007</v>
      </c>
      <c r="AC49">
        <v>21.532825282242598</v>
      </c>
      <c r="AD49">
        <v>54.711803693860659</v>
      </c>
    </row>
    <row r="50" spans="1:30" x14ac:dyDescent="0.3">
      <c r="A50">
        <v>48</v>
      </c>
      <c r="B50" t="s">
        <v>193</v>
      </c>
      <c r="C50" t="s">
        <v>188</v>
      </c>
      <c r="D50">
        <v>1</v>
      </c>
      <c r="E50" t="s">
        <v>21</v>
      </c>
      <c r="F50">
        <v>5</v>
      </c>
      <c r="G50" t="s">
        <v>25</v>
      </c>
      <c r="H50" t="s">
        <v>285</v>
      </c>
      <c r="I50" s="13"/>
      <c r="J50">
        <v>0.38600000000000001</v>
      </c>
      <c r="K50">
        <v>0.14699999999999999</v>
      </c>
      <c r="L50">
        <v>2.6</v>
      </c>
      <c r="M50">
        <v>3.07</v>
      </c>
      <c r="N50">
        <v>3.8</v>
      </c>
      <c r="O50">
        <v>3.12</v>
      </c>
      <c r="P50">
        <f t="shared" si="0"/>
        <v>3.1475</v>
      </c>
      <c r="Q50">
        <v>0.29168827062622166</v>
      </c>
      <c r="R50">
        <v>0.45145870057437287</v>
      </c>
      <c r="S50">
        <v>0.8431813265946988</v>
      </c>
      <c r="T50">
        <v>1.0100680577186119</v>
      </c>
      <c r="U50">
        <v>0.34538197277689414</v>
      </c>
      <c r="V50">
        <v>-4.350637243883182E-3</v>
      </c>
      <c r="W50">
        <v>352</v>
      </c>
      <c r="X50">
        <v>543</v>
      </c>
      <c r="Y50">
        <v>0.7242457996388475</v>
      </c>
      <c r="Z50">
        <v>0.14011401486629288</v>
      </c>
      <c r="AB50">
        <v>32.407766902957448</v>
      </c>
      <c r="AC50">
        <v>29.006754781615783</v>
      </c>
      <c r="AD50">
        <v>83.984565113226779</v>
      </c>
    </row>
    <row r="51" spans="1:30" x14ac:dyDescent="0.3">
      <c r="A51">
        <v>49</v>
      </c>
      <c r="B51" t="s">
        <v>193</v>
      </c>
      <c r="C51" t="s">
        <v>188</v>
      </c>
      <c r="D51">
        <v>1</v>
      </c>
      <c r="E51" t="s">
        <v>21</v>
      </c>
      <c r="F51">
        <v>12</v>
      </c>
      <c r="G51" t="s">
        <v>24</v>
      </c>
      <c r="H51" t="s">
        <v>284</v>
      </c>
      <c r="I51" s="13"/>
      <c r="J51">
        <v>0.88200000000000001</v>
      </c>
      <c r="K51">
        <v>0.04</v>
      </c>
      <c r="L51">
        <v>1.71</v>
      </c>
      <c r="M51">
        <v>1.74</v>
      </c>
      <c r="N51">
        <v>1.46</v>
      </c>
      <c r="O51">
        <v>1.46</v>
      </c>
      <c r="P51">
        <f t="shared" si="0"/>
        <v>1.5925</v>
      </c>
      <c r="Q51">
        <v>6.1297316546361939E-2</v>
      </c>
      <c r="R51">
        <v>0.24656707956273743</v>
      </c>
      <c r="S51">
        <v>0.84831272496024912</v>
      </c>
      <c r="T51">
        <v>1.0112651351748188</v>
      </c>
      <c r="U51">
        <v>0.60806490875669605</v>
      </c>
      <c r="V51">
        <v>-4.8650345696168639E-3</v>
      </c>
      <c r="W51">
        <v>412</v>
      </c>
      <c r="X51">
        <v>660</v>
      </c>
      <c r="Y51">
        <v>0.69748450263132411</v>
      </c>
      <c r="Z51">
        <v>0.15646543751167069</v>
      </c>
      <c r="AB51">
        <v>37.018619629922433</v>
      </c>
      <c r="AC51">
        <v>33.133692768112326</v>
      </c>
      <c r="AD51">
        <v>54.490387935492677</v>
      </c>
    </row>
    <row r="52" spans="1:30" x14ac:dyDescent="0.3">
      <c r="A52">
        <v>50</v>
      </c>
      <c r="B52" t="s">
        <v>193</v>
      </c>
      <c r="C52" t="s">
        <v>188</v>
      </c>
      <c r="D52">
        <v>1</v>
      </c>
      <c r="E52" t="s">
        <v>21</v>
      </c>
      <c r="F52">
        <v>11</v>
      </c>
      <c r="G52" t="s">
        <v>22</v>
      </c>
      <c r="H52" t="s">
        <v>286</v>
      </c>
      <c r="I52" s="13"/>
      <c r="J52">
        <v>0.32200000000000001</v>
      </c>
      <c r="K52">
        <v>0.27400000000000002</v>
      </c>
      <c r="L52">
        <v>3.16</v>
      </c>
      <c r="M52">
        <v>3.44</v>
      </c>
      <c r="N52">
        <v>3.76</v>
      </c>
      <c r="O52">
        <v>3.45</v>
      </c>
      <c r="P52">
        <f t="shared" si="0"/>
        <v>3.4524999999999997</v>
      </c>
      <c r="Q52">
        <v>8.9811260132841117E-2</v>
      </c>
      <c r="R52">
        <v>0.41269820143961394</v>
      </c>
      <c r="S52">
        <v>0.81442808257659993</v>
      </c>
      <c r="T52">
        <v>0.99869011084750825</v>
      </c>
      <c r="U52">
        <v>0.38436742379656774</v>
      </c>
      <c r="V52">
        <v>5.692505398328544E-4</v>
      </c>
      <c r="W52">
        <v>393</v>
      </c>
      <c r="X52">
        <v>629</v>
      </c>
      <c r="Y52">
        <v>0.69807900799566336</v>
      </c>
      <c r="Z52">
        <v>0.15609542151046896</v>
      </c>
      <c r="AB52">
        <v>36.910941338334617</v>
      </c>
      <c r="AC52">
        <v>33.0373155770137</v>
      </c>
      <c r="AD52">
        <v>85.952433873530339</v>
      </c>
    </row>
    <row r="53" spans="1:30" x14ac:dyDescent="0.3">
      <c r="A53">
        <v>51</v>
      </c>
      <c r="B53" t="s">
        <v>193</v>
      </c>
      <c r="C53" t="s">
        <v>188</v>
      </c>
      <c r="D53">
        <v>2</v>
      </c>
      <c r="E53" t="s">
        <v>21</v>
      </c>
      <c r="F53">
        <v>1</v>
      </c>
      <c r="G53" t="s">
        <v>27</v>
      </c>
      <c r="H53" t="s">
        <v>287</v>
      </c>
      <c r="I53" s="13"/>
      <c r="J53">
        <v>0.152</v>
      </c>
      <c r="K53">
        <v>0.03</v>
      </c>
      <c r="L53">
        <v>1.96</v>
      </c>
      <c r="M53">
        <v>1.31</v>
      </c>
      <c r="N53">
        <v>1.45</v>
      </c>
      <c r="O53">
        <v>1.31</v>
      </c>
      <c r="P53">
        <f t="shared" si="0"/>
        <v>1.5074999999999998</v>
      </c>
      <c r="Q53">
        <v>0.30065713612095762</v>
      </c>
      <c r="R53">
        <v>0.62086230825181699</v>
      </c>
      <c r="S53">
        <v>0.90701770517711366</v>
      </c>
      <c r="T53">
        <v>0.95443644431599628</v>
      </c>
      <c r="U53">
        <v>0.20700470481035302</v>
      </c>
      <c r="V53">
        <v>2.0252985868362858E-2</v>
      </c>
      <c r="W53">
        <v>424</v>
      </c>
      <c r="X53">
        <v>599</v>
      </c>
      <c r="Y53">
        <v>0.79107441471571915</v>
      </c>
      <c r="Z53">
        <v>0.10178266140709853</v>
      </c>
      <c r="AB53">
        <v>22.782597333596101</v>
      </c>
      <c r="AC53">
        <v>20.391712823355846</v>
      </c>
      <c r="AD53">
        <v>98.508451013408973</v>
      </c>
    </row>
    <row r="54" spans="1:30" x14ac:dyDescent="0.3">
      <c r="A54">
        <v>52</v>
      </c>
      <c r="B54" t="s">
        <v>193</v>
      </c>
      <c r="C54" t="s">
        <v>188</v>
      </c>
      <c r="D54">
        <v>2</v>
      </c>
      <c r="E54" t="s">
        <v>21</v>
      </c>
      <c r="F54">
        <v>3</v>
      </c>
      <c r="G54" t="s">
        <v>26</v>
      </c>
      <c r="H54" t="s">
        <v>288</v>
      </c>
      <c r="I54" s="13"/>
      <c r="J54">
        <v>0.122</v>
      </c>
      <c r="K54">
        <v>0.122</v>
      </c>
      <c r="L54">
        <v>0.9</v>
      </c>
      <c r="M54">
        <v>0.78</v>
      </c>
      <c r="N54">
        <v>0.92</v>
      </c>
      <c r="O54">
        <v>0.94</v>
      </c>
      <c r="P54">
        <f t="shared" si="0"/>
        <v>0.88500000000000001</v>
      </c>
      <c r="Q54">
        <v>0.1283681004733867</v>
      </c>
      <c r="R54">
        <v>0.57819721917186717</v>
      </c>
      <c r="S54">
        <v>0.91806994104221962</v>
      </c>
      <c r="T54">
        <v>1.0027526148643744</v>
      </c>
      <c r="U54">
        <v>0.23792400139109149</v>
      </c>
      <c r="V54">
        <v>-1.193803158982911E-3</v>
      </c>
      <c r="W54">
        <v>501</v>
      </c>
      <c r="X54">
        <v>699</v>
      </c>
      <c r="Y54">
        <v>0.80111107724196806</v>
      </c>
      <c r="Z54">
        <v>9.6307263080872285E-2</v>
      </c>
      <c r="AB54">
        <v>21.543154401598471</v>
      </c>
      <c r="AC54">
        <v>19.282339154711231</v>
      </c>
      <c r="AD54">
        <v>81.04411090084001</v>
      </c>
    </row>
    <row r="55" spans="1:30" x14ac:dyDescent="0.3">
      <c r="A55">
        <v>53</v>
      </c>
      <c r="B55" t="s">
        <v>193</v>
      </c>
      <c r="C55" t="s">
        <v>188</v>
      </c>
      <c r="D55">
        <v>2</v>
      </c>
      <c r="E55" t="s">
        <v>21</v>
      </c>
      <c r="F55">
        <v>4</v>
      </c>
      <c r="G55" t="s">
        <v>28</v>
      </c>
      <c r="H55" t="s">
        <v>289</v>
      </c>
      <c r="I55" s="13"/>
      <c r="J55">
        <v>0.77100000000000002</v>
      </c>
      <c r="K55">
        <v>0.221</v>
      </c>
      <c r="L55">
        <v>3</v>
      </c>
      <c r="M55">
        <v>3.79</v>
      </c>
      <c r="N55">
        <v>2.7</v>
      </c>
      <c r="O55">
        <v>3.52</v>
      </c>
      <c r="P55">
        <f t="shared" si="0"/>
        <v>3.2524999999999999</v>
      </c>
      <c r="Q55">
        <v>9.1987824393088627E-2</v>
      </c>
      <c r="R55">
        <v>0.40148297588509696</v>
      </c>
      <c r="S55">
        <v>0.9214041725558938</v>
      </c>
      <c r="T55">
        <v>0.8878175471183577</v>
      </c>
      <c r="U55">
        <v>0.39633286541870649</v>
      </c>
      <c r="V55">
        <v>5.1676275686674544E-2</v>
      </c>
      <c r="W55">
        <v>444</v>
      </c>
      <c r="X55">
        <v>581</v>
      </c>
      <c r="Y55">
        <v>0.85418882978723409</v>
      </c>
      <c r="Z55">
        <v>6.8446112133597761E-2</v>
      </c>
      <c r="AB55">
        <v>15.760851506855115</v>
      </c>
      <c r="AC55">
        <v>14.106815671999353</v>
      </c>
      <c r="AD55">
        <v>35.593353221152086</v>
      </c>
    </row>
    <row r="56" spans="1:30" x14ac:dyDescent="0.3">
      <c r="A56">
        <v>54</v>
      </c>
      <c r="B56" t="s">
        <v>193</v>
      </c>
      <c r="C56" t="s">
        <v>188</v>
      </c>
      <c r="D56">
        <v>2</v>
      </c>
      <c r="E56" t="s">
        <v>21</v>
      </c>
      <c r="F56">
        <v>7</v>
      </c>
      <c r="G56" t="s">
        <v>22</v>
      </c>
      <c r="H56" t="s">
        <v>290</v>
      </c>
      <c r="I56" s="13"/>
      <c r="J56">
        <v>1.772</v>
      </c>
      <c r="K56">
        <v>0.60899999999999999</v>
      </c>
      <c r="L56">
        <v>2.83</v>
      </c>
      <c r="M56">
        <v>3.9</v>
      </c>
      <c r="N56">
        <v>3.06</v>
      </c>
      <c r="O56">
        <v>3.47</v>
      </c>
      <c r="P56">
        <f t="shared" si="0"/>
        <v>3.3150000000000004</v>
      </c>
      <c r="Q56">
        <v>0.15082137679965862</v>
      </c>
      <c r="R56">
        <v>0.27068626968916953</v>
      </c>
      <c r="S56">
        <v>0.86807987681310805</v>
      </c>
      <c r="T56">
        <v>0.94837653038383118</v>
      </c>
      <c r="U56">
        <v>0.56753377285697681</v>
      </c>
      <c r="V56">
        <v>2.3019202111514925E-2</v>
      </c>
      <c r="W56">
        <v>411</v>
      </c>
      <c r="X56">
        <v>623</v>
      </c>
      <c r="Y56">
        <v>0.73717674625436136</v>
      </c>
      <c r="Z56">
        <v>0.13242837276481328</v>
      </c>
      <c r="AB56">
        <v>30.344859136989541</v>
      </c>
      <c r="AC56">
        <v>27.160347708546446</v>
      </c>
      <c r="AD56">
        <v>47.856795502795705</v>
      </c>
    </row>
    <row r="57" spans="1:30" x14ac:dyDescent="0.3">
      <c r="A57">
        <v>55</v>
      </c>
      <c r="B57" t="s">
        <v>193</v>
      </c>
      <c r="C57" t="s">
        <v>188</v>
      </c>
      <c r="D57">
        <v>2</v>
      </c>
      <c r="E57" t="s">
        <v>21</v>
      </c>
      <c r="F57">
        <v>8</v>
      </c>
      <c r="G57" t="s">
        <v>23</v>
      </c>
      <c r="H57" t="s">
        <v>291</v>
      </c>
      <c r="I57" s="13"/>
      <c r="J57">
        <v>0.40699999999999997</v>
      </c>
      <c r="K57">
        <v>8.8999999999999996E-2</v>
      </c>
      <c r="L57">
        <v>2.2400000000000002</v>
      </c>
      <c r="M57">
        <v>1.8</v>
      </c>
      <c r="N57">
        <v>1.86</v>
      </c>
      <c r="O57">
        <v>2.04</v>
      </c>
      <c r="P57">
        <f t="shared" si="0"/>
        <v>1.9850000000000001</v>
      </c>
      <c r="Q57">
        <v>0.10173703191565962</v>
      </c>
      <c r="R57">
        <v>0.43288783332883241</v>
      </c>
      <c r="S57">
        <v>0.90537600238988303</v>
      </c>
      <c r="T57">
        <v>0.94744702986400386</v>
      </c>
      <c r="U57">
        <v>0.36362462022150488</v>
      </c>
      <c r="V57">
        <v>2.3445061339659658E-2</v>
      </c>
      <c r="W57">
        <v>513</v>
      </c>
      <c r="X57">
        <v>687</v>
      </c>
      <c r="Y57">
        <v>0.83468767446188208</v>
      </c>
      <c r="Z57">
        <v>7.8475999524650966E-2</v>
      </c>
      <c r="AB57">
        <v>17.741456539253878</v>
      </c>
      <c r="AC57">
        <v>15.879586630520249</v>
      </c>
      <c r="AD57">
        <v>43.670273538813383</v>
      </c>
    </row>
    <row r="58" spans="1:30" x14ac:dyDescent="0.3">
      <c r="A58">
        <v>56</v>
      </c>
      <c r="B58" t="s">
        <v>193</v>
      </c>
      <c r="C58" t="s">
        <v>188</v>
      </c>
      <c r="D58">
        <v>2</v>
      </c>
      <c r="E58" t="s">
        <v>21</v>
      </c>
      <c r="F58">
        <v>10</v>
      </c>
      <c r="G58" t="s">
        <v>29</v>
      </c>
      <c r="H58" t="s">
        <v>292</v>
      </c>
      <c r="I58" s="13"/>
      <c r="J58">
        <v>1.4219999999999999</v>
      </c>
      <c r="K58">
        <v>0.4</v>
      </c>
      <c r="L58">
        <v>2.7</v>
      </c>
      <c r="M58">
        <v>2.16</v>
      </c>
      <c r="N58">
        <v>2.0699999999999998</v>
      </c>
      <c r="O58">
        <v>2.0499999999999998</v>
      </c>
      <c r="P58">
        <f t="shared" si="0"/>
        <v>2.2450000000000001</v>
      </c>
      <c r="Q58">
        <v>0.12297448280643768</v>
      </c>
      <c r="R58">
        <v>0.60055843759287864</v>
      </c>
      <c r="S58">
        <v>0.86119835177411741</v>
      </c>
      <c r="T58">
        <v>0.98157835150373896</v>
      </c>
      <c r="U58">
        <v>0.22144472699659615</v>
      </c>
      <c r="V58">
        <v>8.0750284454210574E-3</v>
      </c>
      <c r="W58">
        <v>475</v>
      </c>
      <c r="X58">
        <v>684</v>
      </c>
      <c r="Y58">
        <v>0.77613236347777326</v>
      </c>
      <c r="Z58">
        <v>0.11006420680117758</v>
      </c>
      <c r="AB58">
        <v>24.721593838993449</v>
      </c>
      <c r="AC58">
        <v>22.127224605728358</v>
      </c>
      <c r="AD58">
        <v>99.922111065071689</v>
      </c>
    </row>
    <row r="59" spans="1:30" x14ac:dyDescent="0.3">
      <c r="A59">
        <v>57</v>
      </c>
      <c r="B59" t="s">
        <v>193</v>
      </c>
      <c r="C59" t="s">
        <v>188</v>
      </c>
      <c r="D59">
        <v>3</v>
      </c>
      <c r="E59" t="s">
        <v>21</v>
      </c>
      <c r="F59">
        <v>3</v>
      </c>
      <c r="G59" t="s">
        <v>29</v>
      </c>
      <c r="H59" t="s">
        <v>293</v>
      </c>
      <c r="I59" s="13"/>
      <c r="J59">
        <v>0.63500000000000001</v>
      </c>
      <c r="K59">
        <v>0.186</v>
      </c>
      <c r="L59">
        <v>1.98</v>
      </c>
      <c r="M59">
        <v>1.88</v>
      </c>
      <c r="N59">
        <v>2.83</v>
      </c>
      <c r="O59">
        <v>1.86</v>
      </c>
      <c r="P59">
        <f t="shared" si="0"/>
        <v>2.1374999999999997</v>
      </c>
      <c r="Q59">
        <v>0.18113288474218917</v>
      </c>
      <c r="R59">
        <v>0.55139270015856945</v>
      </c>
      <c r="S59">
        <v>0.81561520044295588</v>
      </c>
      <c r="T59">
        <v>0.96739179806518494</v>
      </c>
      <c r="U59">
        <v>0.25853898778018619</v>
      </c>
      <c r="V59">
        <v>1.439759905437705E-2</v>
      </c>
      <c r="W59">
        <v>373</v>
      </c>
      <c r="X59">
        <v>585</v>
      </c>
      <c r="Y59">
        <v>0.71237430778198785</v>
      </c>
      <c r="Z59">
        <v>0.147291752024232</v>
      </c>
      <c r="AB59">
        <v>34.394594993733811</v>
      </c>
      <c r="AC59">
        <v>30.78506423087304</v>
      </c>
      <c r="AD59">
        <v>119.07319857323404</v>
      </c>
    </row>
    <row r="60" spans="1:30" x14ac:dyDescent="0.3">
      <c r="A60">
        <v>58</v>
      </c>
      <c r="B60" t="s">
        <v>193</v>
      </c>
      <c r="C60" t="s">
        <v>188</v>
      </c>
      <c r="D60">
        <v>3</v>
      </c>
      <c r="E60" t="s">
        <v>21</v>
      </c>
      <c r="F60">
        <v>7</v>
      </c>
      <c r="G60" t="s">
        <v>24</v>
      </c>
      <c r="H60" t="s">
        <v>294</v>
      </c>
      <c r="I60" s="13"/>
      <c r="J60">
        <v>0.82</v>
      </c>
      <c r="K60">
        <v>0.25</v>
      </c>
      <c r="L60">
        <v>3.69</v>
      </c>
      <c r="M60">
        <v>3.77</v>
      </c>
      <c r="N60">
        <v>3.15</v>
      </c>
      <c r="O60">
        <v>3.35</v>
      </c>
      <c r="P60">
        <f t="shared" si="0"/>
        <v>3.4899999999999998</v>
      </c>
      <c r="Q60">
        <v>5.5426067551861004E-2</v>
      </c>
      <c r="R60">
        <v>0.4103376300062852</v>
      </c>
      <c r="S60">
        <v>0.87517375952651211</v>
      </c>
      <c r="T60">
        <v>1.0143370010074602</v>
      </c>
      <c r="U60">
        <v>0.3868586542377761</v>
      </c>
      <c r="V60">
        <v>-6.1822679780593514E-3</v>
      </c>
      <c r="W60">
        <v>398</v>
      </c>
      <c r="X60">
        <v>640</v>
      </c>
      <c r="Y60">
        <v>0.69481278926514167</v>
      </c>
      <c r="Z60">
        <v>0.15813219618901517</v>
      </c>
      <c r="AB60">
        <v>37.505579898231311</v>
      </c>
      <c r="AC60">
        <v>33.569545291237219</v>
      </c>
      <c r="AD60">
        <v>86.774704206576359</v>
      </c>
    </row>
    <row r="61" spans="1:30" x14ac:dyDescent="0.3">
      <c r="A61">
        <v>59</v>
      </c>
      <c r="B61" t="s">
        <v>193</v>
      </c>
      <c r="C61" t="s">
        <v>188</v>
      </c>
      <c r="D61">
        <v>3</v>
      </c>
      <c r="E61" t="s">
        <v>21</v>
      </c>
      <c r="F61">
        <v>9</v>
      </c>
      <c r="G61" t="s">
        <v>23</v>
      </c>
      <c r="H61" t="s">
        <v>295</v>
      </c>
      <c r="I61" s="13"/>
      <c r="J61">
        <v>0.153</v>
      </c>
      <c r="K61">
        <v>0.03</v>
      </c>
      <c r="L61">
        <v>1.76</v>
      </c>
      <c r="M61">
        <v>1.6</v>
      </c>
      <c r="N61">
        <v>2.2400000000000002</v>
      </c>
      <c r="O61">
        <v>2.21</v>
      </c>
      <c r="P61">
        <f t="shared" si="0"/>
        <v>1.9525000000000001</v>
      </c>
      <c r="Q61">
        <v>7.0476178145316579E-2</v>
      </c>
      <c r="R61">
        <v>0.50306874844609428</v>
      </c>
      <c r="S61">
        <v>0.90612021708695722</v>
      </c>
      <c r="T61">
        <v>0.9851766860355734</v>
      </c>
      <c r="U61">
        <v>0.29837266100653947</v>
      </c>
      <c r="V61">
        <v>6.4858741836298197E-3</v>
      </c>
      <c r="W61">
        <v>420</v>
      </c>
      <c r="X61">
        <v>626</v>
      </c>
      <c r="Y61">
        <v>0.74974255319148941</v>
      </c>
      <c r="Z61">
        <v>0.12508783917150995</v>
      </c>
      <c r="AB61">
        <v>28.436870846931793</v>
      </c>
      <c r="AC61">
        <v>25.452598884048832</v>
      </c>
      <c r="AD61">
        <v>85.304728651030743</v>
      </c>
    </row>
    <row r="62" spans="1:30" x14ac:dyDescent="0.3">
      <c r="A62">
        <v>60</v>
      </c>
      <c r="B62" t="s">
        <v>193</v>
      </c>
      <c r="C62" t="s">
        <v>188</v>
      </c>
      <c r="D62">
        <v>3</v>
      </c>
      <c r="E62" t="s">
        <v>21</v>
      </c>
      <c r="F62">
        <v>10</v>
      </c>
      <c r="G62" t="s">
        <v>28</v>
      </c>
      <c r="H62" t="s">
        <v>296</v>
      </c>
      <c r="I62" s="13"/>
      <c r="J62">
        <v>1.8029999999999999</v>
      </c>
      <c r="K62">
        <v>0.65600000000000003</v>
      </c>
      <c r="L62">
        <v>3.71</v>
      </c>
      <c r="M62">
        <v>4.7699999999999996</v>
      </c>
      <c r="N62">
        <v>4.9000000000000004</v>
      </c>
      <c r="O62">
        <v>5.85</v>
      </c>
      <c r="P62">
        <f t="shared" si="0"/>
        <v>4.8075000000000001</v>
      </c>
      <c r="Q62">
        <v>7.1566702010617239E-2</v>
      </c>
      <c r="R62">
        <v>0.47483688755206377</v>
      </c>
      <c r="S62">
        <v>0.82216338412559586</v>
      </c>
      <c r="T62">
        <v>0.94625961848565299</v>
      </c>
      <c r="U62">
        <v>0.32345555037869439</v>
      </c>
      <c r="V62">
        <v>2.3989692977722459E-2</v>
      </c>
      <c r="W62">
        <v>358</v>
      </c>
      <c r="X62">
        <v>588</v>
      </c>
      <c r="Y62">
        <v>0.68015558737177872</v>
      </c>
      <c r="Z62">
        <v>0.16739172992915127</v>
      </c>
      <c r="AB62">
        <v>40.267979630624168</v>
      </c>
      <c r="AC62">
        <v>36.042021855752701</v>
      </c>
      <c r="AD62">
        <v>111.42805190251187</v>
      </c>
    </row>
    <row r="63" spans="1:30" x14ac:dyDescent="0.3">
      <c r="A63">
        <v>61</v>
      </c>
      <c r="B63" t="s">
        <v>193</v>
      </c>
      <c r="C63" t="s">
        <v>188</v>
      </c>
      <c r="D63">
        <v>3</v>
      </c>
      <c r="E63" t="s">
        <v>21</v>
      </c>
      <c r="F63">
        <v>12</v>
      </c>
      <c r="G63" t="s">
        <v>22</v>
      </c>
      <c r="H63" t="s">
        <v>297</v>
      </c>
      <c r="I63" s="13"/>
      <c r="J63">
        <v>1.7829999999999999</v>
      </c>
      <c r="K63">
        <v>0.63</v>
      </c>
      <c r="L63">
        <v>3.2</v>
      </c>
      <c r="M63">
        <v>4.07</v>
      </c>
      <c r="N63">
        <v>4.8600000000000003</v>
      </c>
      <c r="O63">
        <v>4.68</v>
      </c>
      <c r="P63">
        <f t="shared" si="0"/>
        <v>4.2025000000000006</v>
      </c>
      <c r="Q63">
        <v>7.9841468932412341E-2</v>
      </c>
      <c r="R63">
        <v>0.20114805701784613</v>
      </c>
      <c r="S63">
        <v>0.87507545577098433</v>
      </c>
      <c r="T63">
        <v>0.95068382227822146</v>
      </c>
      <c r="U63">
        <v>0.6964841581238076</v>
      </c>
      <c r="V63">
        <v>2.1963896386742093E-2</v>
      </c>
      <c r="W63">
        <v>423</v>
      </c>
      <c r="X63">
        <v>645</v>
      </c>
      <c r="Y63">
        <v>0.73283252940399102</v>
      </c>
      <c r="Z63">
        <v>0.1349952611918683</v>
      </c>
      <c r="AB63">
        <v>31.026419177917255</v>
      </c>
      <c r="AC63">
        <v>27.770378813693377</v>
      </c>
      <c r="AD63">
        <v>39.872233258687977</v>
      </c>
    </row>
    <row r="64" spans="1:30" x14ac:dyDescent="0.3">
      <c r="A64">
        <v>62</v>
      </c>
      <c r="B64" t="s">
        <v>193</v>
      </c>
      <c r="C64" t="s">
        <v>188</v>
      </c>
      <c r="D64">
        <v>3</v>
      </c>
      <c r="E64" t="s">
        <v>21</v>
      </c>
      <c r="F64">
        <v>13</v>
      </c>
      <c r="G64" t="s">
        <v>25</v>
      </c>
      <c r="H64" t="s">
        <v>298</v>
      </c>
      <c r="I64" s="13"/>
      <c r="J64">
        <v>1.3740000000000001</v>
      </c>
      <c r="K64">
        <v>0.2</v>
      </c>
      <c r="L64">
        <v>1.36</v>
      </c>
      <c r="M64">
        <v>1.26</v>
      </c>
      <c r="N64">
        <v>1.38</v>
      </c>
      <c r="O64">
        <v>1.4</v>
      </c>
      <c r="P64">
        <f t="shared" si="0"/>
        <v>1.35</v>
      </c>
      <c r="Q64">
        <v>0.41751919353791261</v>
      </c>
      <c r="R64">
        <v>0.53926903158567707</v>
      </c>
      <c r="S64">
        <v>0.85165898234432702</v>
      </c>
      <c r="T64">
        <v>1.0275827560961976</v>
      </c>
      <c r="U64">
        <v>0.26819451907327591</v>
      </c>
      <c r="V64">
        <v>-1.1816807743876969E-2</v>
      </c>
      <c r="W64">
        <v>476</v>
      </c>
      <c r="X64">
        <v>701</v>
      </c>
      <c r="Y64">
        <v>0.75888107902735569</v>
      </c>
      <c r="Z64">
        <v>0.11982627518312029</v>
      </c>
      <c r="AB64">
        <v>27.106703500428043</v>
      </c>
      <c r="AC64">
        <v>24.262028301514626</v>
      </c>
      <c r="AD64">
        <v>90.464295785574095</v>
      </c>
    </row>
    <row r="65" spans="1:30" x14ac:dyDescent="0.3">
      <c r="A65">
        <v>63</v>
      </c>
      <c r="B65" t="s">
        <v>193</v>
      </c>
      <c r="C65" t="s">
        <v>188</v>
      </c>
      <c r="D65">
        <v>3</v>
      </c>
      <c r="E65" t="s">
        <v>21</v>
      </c>
      <c r="F65">
        <v>16</v>
      </c>
      <c r="G65" t="s">
        <v>192</v>
      </c>
      <c r="I65" s="13"/>
      <c r="J65">
        <v>1.389</v>
      </c>
      <c r="K65">
        <v>0.246</v>
      </c>
      <c r="L65">
        <v>1.5</v>
      </c>
      <c r="M65">
        <v>0.88</v>
      </c>
      <c r="N65">
        <v>0.97</v>
      </c>
      <c r="O65">
        <v>1.21</v>
      </c>
      <c r="P65">
        <f t="shared" si="0"/>
        <v>1.1399999999999999</v>
      </c>
      <c r="Q65">
        <v>0.10005650164433376</v>
      </c>
      <c r="R65">
        <v>0.50848202469637249</v>
      </c>
      <c r="S65">
        <v>0.88370662761267527</v>
      </c>
      <c r="T65">
        <v>0.99745977130090269</v>
      </c>
      <c r="U65">
        <v>0.29372439517616111</v>
      </c>
      <c r="V65">
        <v>1.1046108836624303E-3</v>
      </c>
      <c r="W65">
        <v>343</v>
      </c>
      <c r="X65">
        <v>539</v>
      </c>
      <c r="Y65">
        <v>0.7109220517282292</v>
      </c>
      <c r="Z65">
        <v>0.14817801440398412</v>
      </c>
      <c r="AB65">
        <v>34.643952131319075</v>
      </c>
      <c r="AC65">
        <v>31.008251047631546</v>
      </c>
      <c r="AD65">
        <v>105.56920554397382</v>
      </c>
    </row>
    <row r="66" spans="1:30" x14ac:dyDescent="0.3">
      <c r="A66">
        <v>64</v>
      </c>
      <c r="B66" t="s">
        <v>193</v>
      </c>
      <c r="C66" t="s">
        <v>188</v>
      </c>
      <c r="D66">
        <v>4</v>
      </c>
      <c r="E66" t="s">
        <v>21</v>
      </c>
      <c r="F66">
        <v>1</v>
      </c>
      <c r="G66" t="s">
        <v>23</v>
      </c>
      <c r="H66" t="s">
        <v>299</v>
      </c>
      <c r="I66" s="13"/>
      <c r="J66">
        <v>0.104</v>
      </c>
      <c r="K66">
        <v>3.5000000000000003E-2</v>
      </c>
      <c r="L66">
        <v>1.71</v>
      </c>
      <c r="M66">
        <v>1.67</v>
      </c>
      <c r="N66">
        <v>2.0099999999999998</v>
      </c>
      <c r="O66">
        <v>2.0499999999999998</v>
      </c>
      <c r="P66">
        <f t="shared" si="0"/>
        <v>1.8599999999999999</v>
      </c>
      <c r="Q66">
        <v>6.7837733433673095E-2</v>
      </c>
      <c r="R66">
        <v>0.42361614327664077</v>
      </c>
      <c r="S66">
        <v>1.0607280175392471</v>
      </c>
      <c r="T66">
        <v>0.80846342306703045</v>
      </c>
      <c r="U66">
        <v>0.37302749803958585</v>
      </c>
      <c r="V66">
        <v>9.2339623895478215E-2</v>
      </c>
      <c r="W66">
        <v>462</v>
      </c>
      <c r="X66">
        <v>542</v>
      </c>
      <c r="Y66">
        <v>0.95297567546309048</v>
      </c>
      <c r="Z66">
        <v>2.0918184510651333E-2</v>
      </c>
      <c r="AB66">
        <v>7.9203466432572061</v>
      </c>
      <c r="AC66">
        <v>7.088965753031844</v>
      </c>
      <c r="AD66">
        <v>19.003869125700646</v>
      </c>
    </row>
    <row r="67" spans="1:30" x14ac:dyDescent="0.3">
      <c r="A67">
        <v>65</v>
      </c>
      <c r="B67" t="s">
        <v>193</v>
      </c>
      <c r="C67" t="s">
        <v>188</v>
      </c>
      <c r="D67">
        <v>4</v>
      </c>
      <c r="E67" t="s">
        <v>21</v>
      </c>
      <c r="F67">
        <v>4</v>
      </c>
      <c r="G67" t="s">
        <v>26</v>
      </c>
      <c r="H67" t="s">
        <v>300</v>
      </c>
      <c r="I67" s="13"/>
      <c r="J67">
        <v>1.333</v>
      </c>
      <c r="K67">
        <v>0.255</v>
      </c>
      <c r="L67">
        <v>0.93</v>
      </c>
      <c r="M67">
        <v>1.5</v>
      </c>
      <c r="N67">
        <v>1.19</v>
      </c>
      <c r="O67">
        <v>1.04</v>
      </c>
      <c r="P67">
        <f t="shared" si="0"/>
        <v>1.165</v>
      </c>
      <c r="Q67">
        <v>0.1892466577511818</v>
      </c>
      <c r="R67">
        <v>0.4594639560669288</v>
      </c>
      <c r="S67">
        <v>0.93799282537046558</v>
      </c>
      <c r="T67">
        <v>0.89096110172227094</v>
      </c>
      <c r="U67">
        <v>0.33774855238498902</v>
      </c>
      <c r="V67">
        <v>5.0141256317938372E-2</v>
      </c>
      <c r="W67">
        <v>453</v>
      </c>
      <c r="X67">
        <v>598</v>
      </c>
      <c r="Y67">
        <v>0.84672475854449558</v>
      </c>
      <c r="Z67">
        <v>7.2257741111717011E-2</v>
      </c>
      <c r="AB67">
        <v>16.500150265660636</v>
      </c>
      <c r="AC67">
        <v>14.768537124179749</v>
      </c>
      <c r="AD67">
        <v>43.726426123495429</v>
      </c>
    </row>
    <row r="68" spans="1:30" x14ac:dyDescent="0.3">
      <c r="A68">
        <v>66</v>
      </c>
      <c r="B68" t="s">
        <v>193</v>
      </c>
      <c r="C68" t="s">
        <v>188</v>
      </c>
      <c r="D68">
        <v>4</v>
      </c>
      <c r="E68" t="s">
        <v>21</v>
      </c>
      <c r="F68">
        <v>7</v>
      </c>
      <c r="G68" t="s">
        <v>28</v>
      </c>
      <c r="H68" t="s">
        <v>301</v>
      </c>
      <c r="I68" s="13"/>
      <c r="J68">
        <v>0.77900000000000003</v>
      </c>
      <c r="K68">
        <v>0.23799999999999999</v>
      </c>
      <c r="L68">
        <v>2.41</v>
      </c>
      <c r="M68">
        <v>3.2</v>
      </c>
      <c r="N68">
        <v>3.02</v>
      </c>
      <c r="O68">
        <v>3.46</v>
      </c>
      <c r="P68">
        <f t="shared" ref="P68:P131" si="1">AVERAGE(L68:O68)</f>
        <v>3.0225</v>
      </c>
      <c r="Q68">
        <v>7.5712444311895652E-2</v>
      </c>
      <c r="R68">
        <v>0.22963420225806017</v>
      </c>
      <c r="S68">
        <v>0.85075494439132293</v>
      </c>
      <c r="T68">
        <v>0.94682742841707634</v>
      </c>
      <c r="U68">
        <v>0.63896342661506833</v>
      </c>
      <c r="V68">
        <v>2.3729169587859995E-2</v>
      </c>
      <c r="W68">
        <v>408</v>
      </c>
      <c r="X68">
        <v>599</v>
      </c>
      <c r="Y68">
        <v>0.76115197822529002</v>
      </c>
      <c r="Z68">
        <v>0.11852861955692086</v>
      </c>
      <c r="AB68">
        <v>26.783451988931283</v>
      </c>
      <c r="AC68">
        <v>23.972700783371</v>
      </c>
      <c r="AD68">
        <v>37.518111029245041</v>
      </c>
    </row>
    <row r="69" spans="1:30" x14ac:dyDescent="0.3">
      <c r="A69">
        <v>67</v>
      </c>
      <c r="B69" t="s">
        <v>193</v>
      </c>
      <c r="C69" t="s">
        <v>188</v>
      </c>
      <c r="D69">
        <v>4</v>
      </c>
      <c r="E69" t="s">
        <v>21</v>
      </c>
      <c r="F69">
        <v>8</v>
      </c>
      <c r="G69" t="s">
        <v>24</v>
      </c>
      <c r="H69" t="s">
        <v>302</v>
      </c>
      <c r="I69" s="13"/>
      <c r="J69">
        <v>1.0529999999999999</v>
      </c>
      <c r="K69">
        <v>0.33100000000000002</v>
      </c>
      <c r="L69">
        <v>3.96</v>
      </c>
      <c r="M69">
        <v>2.65</v>
      </c>
      <c r="N69">
        <v>3.75</v>
      </c>
      <c r="O69">
        <v>3.21</v>
      </c>
      <c r="P69">
        <f t="shared" si="1"/>
        <v>3.3925000000000001</v>
      </c>
      <c r="Q69">
        <v>4.9423331207123375E-2</v>
      </c>
      <c r="R69">
        <v>0.45330619170726894</v>
      </c>
      <c r="S69">
        <v>0.93920833182504337</v>
      </c>
      <c r="T69">
        <v>0.94703218220931795</v>
      </c>
      <c r="U69">
        <v>0.34360834887439029</v>
      </c>
      <c r="V69">
        <v>2.3635262476723741E-2</v>
      </c>
      <c r="W69">
        <v>458</v>
      </c>
      <c r="X69">
        <v>649</v>
      </c>
      <c r="Y69">
        <v>0.78871363606514322</v>
      </c>
      <c r="Z69">
        <v>0.10308065059447315</v>
      </c>
      <c r="AB69">
        <v>23.081382592518743</v>
      </c>
      <c r="AC69">
        <v>20.659142805659176</v>
      </c>
      <c r="AD69">
        <v>60.124100224384669</v>
      </c>
    </row>
    <row r="70" spans="1:30" x14ac:dyDescent="0.3">
      <c r="A70">
        <v>68</v>
      </c>
      <c r="B70" t="s">
        <v>193</v>
      </c>
      <c r="C70" t="s">
        <v>188</v>
      </c>
      <c r="D70">
        <v>4</v>
      </c>
      <c r="E70" t="s">
        <v>21</v>
      </c>
      <c r="F70">
        <v>14</v>
      </c>
      <c r="G70" t="s">
        <v>29</v>
      </c>
      <c r="H70" t="s">
        <v>303</v>
      </c>
      <c r="I70" s="13"/>
      <c r="J70">
        <v>0.53700000000000003</v>
      </c>
      <c r="K70">
        <v>0.14699999999999999</v>
      </c>
      <c r="L70">
        <v>2.42</v>
      </c>
      <c r="M70">
        <v>2.33</v>
      </c>
      <c r="N70">
        <v>1.8</v>
      </c>
      <c r="O70">
        <v>2.2799999999999998</v>
      </c>
      <c r="P70">
        <f t="shared" si="1"/>
        <v>2.2075</v>
      </c>
      <c r="Q70">
        <v>9.1309201787266578E-2</v>
      </c>
      <c r="R70">
        <v>0.54160838359565655</v>
      </c>
      <c r="S70">
        <v>0.86584452604340933</v>
      </c>
      <c r="T70">
        <v>0.99795476443038367</v>
      </c>
      <c r="U70">
        <v>0.26631462179493437</v>
      </c>
      <c r="V70">
        <v>8.891440868904572E-4</v>
      </c>
      <c r="W70">
        <v>413</v>
      </c>
      <c r="X70">
        <v>587</v>
      </c>
      <c r="Y70">
        <v>0.7862809527267447</v>
      </c>
      <c r="Z70">
        <v>0.10442224477868607</v>
      </c>
      <c r="AB70">
        <v>23.392205137980795</v>
      </c>
      <c r="AC70">
        <v>20.937346756313829</v>
      </c>
      <c r="AD70">
        <v>78.618840434663966</v>
      </c>
    </row>
    <row r="71" spans="1:30" x14ac:dyDescent="0.3">
      <c r="A71">
        <v>69</v>
      </c>
      <c r="B71" t="s">
        <v>194</v>
      </c>
      <c r="C71" t="s">
        <v>189</v>
      </c>
      <c r="D71">
        <v>1</v>
      </c>
      <c r="E71" t="s">
        <v>21</v>
      </c>
      <c r="F71">
        <v>1</v>
      </c>
      <c r="G71" t="s">
        <v>28</v>
      </c>
      <c r="H71" t="s">
        <v>304</v>
      </c>
      <c r="I71" s="13"/>
      <c r="J71">
        <v>3</v>
      </c>
      <c r="K71">
        <v>0.90300000000000002</v>
      </c>
      <c r="L71">
        <v>4.99</v>
      </c>
      <c r="M71">
        <v>4.6100000000000003</v>
      </c>
      <c r="N71">
        <v>3.47</v>
      </c>
      <c r="O71">
        <v>5.9</v>
      </c>
      <c r="P71">
        <f t="shared" si="1"/>
        <v>4.7425000000000006</v>
      </c>
      <c r="Q71">
        <v>2.6694178426327368E-2</v>
      </c>
      <c r="R71">
        <v>0.31676917453780706</v>
      </c>
      <c r="S71">
        <v>1.0212526570240448</v>
      </c>
      <c r="T71">
        <v>0.88291554131994043</v>
      </c>
      <c r="U71">
        <v>0.49925708711879935</v>
      </c>
      <c r="V71">
        <v>5.4080838543635261E-2</v>
      </c>
      <c r="W71">
        <v>559</v>
      </c>
      <c r="X71">
        <v>628</v>
      </c>
      <c r="Y71">
        <v>0.97837745879851146</v>
      </c>
      <c r="Z71">
        <v>9.493561728305358E-3</v>
      </c>
      <c r="AB71">
        <v>6.4160141700345825</v>
      </c>
      <c r="AC71">
        <v>5.742448212535221</v>
      </c>
      <c r="AD71">
        <v>11.50198637274185</v>
      </c>
    </row>
    <row r="72" spans="1:30" x14ac:dyDescent="0.3">
      <c r="A72">
        <v>70</v>
      </c>
      <c r="B72" t="s">
        <v>194</v>
      </c>
      <c r="C72" t="s">
        <v>189</v>
      </c>
      <c r="D72">
        <v>1</v>
      </c>
      <c r="E72" t="s">
        <v>21</v>
      </c>
      <c r="F72">
        <v>7</v>
      </c>
      <c r="G72" t="s">
        <v>23</v>
      </c>
      <c r="H72" t="s">
        <v>305</v>
      </c>
      <c r="I72" s="13"/>
      <c r="J72">
        <v>1.9390000000000001</v>
      </c>
      <c r="K72">
        <v>0.57199999999999995</v>
      </c>
      <c r="L72">
        <v>1.66</v>
      </c>
      <c r="M72">
        <v>1.58</v>
      </c>
      <c r="N72">
        <v>2.4300000000000002</v>
      </c>
      <c r="O72">
        <v>1.66</v>
      </c>
      <c r="P72">
        <f t="shared" si="1"/>
        <v>1.8325</v>
      </c>
      <c r="Q72">
        <v>3.5660789977851819E-2</v>
      </c>
      <c r="R72">
        <v>0.1848811366941305</v>
      </c>
      <c r="S72">
        <v>0.82139926441504474</v>
      </c>
      <c r="T72">
        <v>1.0131500312064718</v>
      </c>
      <c r="U72">
        <v>0.73310739737278674</v>
      </c>
      <c r="V72">
        <v>-5.6737621425517713E-3</v>
      </c>
      <c r="W72">
        <v>429</v>
      </c>
      <c r="X72">
        <v>619</v>
      </c>
      <c r="Y72">
        <v>0.76095361380798265</v>
      </c>
      <c r="Z72">
        <v>0.11864181613510985</v>
      </c>
      <c r="AB72">
        <v>26.811574020100281</v>
      </c>
      <c r="AC72">
        <v>23.997871519683109</v>
      </c>
      <c r="AD72">
        <v>32.73445555955854</v>
      </c>
    </row>
    <row r="73" spans="1:30" x14ac:dyDescent="0.3">
      <c r="A73">
        <v>71</v>
      </c>
      <c r="B73" t="s">
        <v>194</v>
      </c>
      <c r="C73" t="s">
        <v>189</v>
      </c>
      <c r="D73">
        <v>1</v>
      </c>
      <c r="E73" t="s">
        <v>21</v>
      </c>
      <c r="F73">
        <v>9</v>
      </c>
      <c r="G73" t="s">
        <v>27</v>
      </c>
      <c r="H73" t="s">
        <v>306</v>
      </c>
      <c r="I73" s="13"/>
      <c r="J73">
        <v>1.117</v>
      </c>
      <c r="K73">
        <v>0.38</v>
      </c>
      <c r="L73">
        <v>2.09</v>
      </c>
      <c r="M73">
        <v>2.36</v>
      </c>
      <c r="N73">
        <v>2.08</v>
      </c>
      <c r="O73">
        <v>2.19</v>
      </c>
      <c r="P73">
        <f t="shared" si="1"/>
        <v>2.1799999999999997</v>
      </c>
      <c r="Q73">
        <v>2.6291296473447065E-2</v>
      </c>
      <c r="R73">
        <v>4.6408805726420456E-2</v>
      </c>
      <c r="S73">
        <v>0.65370774528347642</v>
      </c>
      <c r="T73">
        <v>0.97052470576262317</v>
      </c>
      <c r="U73">
        <v>1.3333996074719212</v>
      </c>
      <c r="V73">
        <v>1.2993404696215221E-2</v>
      </c>
      <c r="W73">
        <v>435</v>
      </c>
      <c r="X73">
        <v>628</v>
      </c>
      <c r="Y73">
        <v>0.76056990962254112</v>
      </c>
      <c r="Z73">
        <v>0.11886086054866887</v>
      </c>
      <c r="AB73">
        <v>26.866033492763826</v>
      </c>
      <c r="AC73">
        <v>24.046615686381774</v>
      </c>
      <c r="AD73">
        <v>18.03406537067557</v>
      </c>
    </row>
    <row r="74" spans="1:30" x14ac:dyDescent="0.3">
      <c r="A74">
        <v>72</v>
      </c>
      <c r="B74" t="s">
        <v>194</v>
      </c>
      <c r="C74" t="s">
        <v>189</v>
      </c>
      <c r="D74">
        <v>1</v>
      </c>
      <c r="E74" t="s">
        <v>21</v>
      </c>
      <c r="F74">
        <v>12</v>
      </c>
      <c r="G74" t="s">
        <v>24</v>
      </c>
      <c r="H74" t="s">
        <v>307</v>
      </c>
      <c r="I74" s="13"/>
      <c r="J74">
        <v>2.3929999999999998</v>
      </c>
      <c r="K74">
        <v>0.93100000000000005</v>
      </c>
      <c r="L74">
        <v>4.55</v>
      </c>
      <c r="M74">
        <v>3.1</v>
      </c>
      <c r="N74">
        <v>4.87</v>
      </c>
      <c r="O74">
        <v>4.96</v>
      </c>
      <c r="P74">
        <f t="shared" si="1"/>
        <v>4.37</v>
      </c>
      <c r="Q74">
        <v>3.4790158001925621E-2</v>
      </c>
      <c r="R74">
        <v>8.6244641663605182E-2</v>
      </c>
      <c r="S74">
        <v>0.9373496091127842</v>
      </c>
      <c r="T74">
        <v>1.0432277316994287</v>
      </c>
      <c r="U74">
        <v>1.0642678779151822</v>
      </c>
      <c r="V74">
        <v>-1.8379123215258288E-2</v>
      </c>
      <c r="W74">
        <v>516</v>
      </c>
      <c r="X74">
        <v>642</v>
      </c>
      <c r="Y74">
        <v>0.88312844513780542</v>
      </c>
      <c r="Z74">
        <v>5.3976126594859564E-2</v>
      </c>
      <c r="AB74">
        <v>13.103659352211553</v>
      </c>
      <c r="AC74">
        <v>11.728443923238974</v>
      </c>
      <c r="AD74">
        <v>11.020199112101439</v>
      </c>
    </row>
    <row r="75" spans="1:30" x14ac:dyDescent="0.3">
      <c r="A75">
        <v>73</v>
      </c>
      <c r="B75" t="s">
        <v>194</v>
      </c>
      <c r="C75" t="s">
        <v>189</v>
      </c>
      <c r="D75">
        <v>1</v>
      </c>
      <c r="E75" t="s">
        <v>21</v>
      </c>
      <c r="F75">
        <v>15</v>
      </c>
      <c r="G75" t="s">
        <v>22</v>
      </c>
      <c r="H75" t="s">
        <v>308</v>
      </c>
      <c r="I75" s="13"/>
      <c r="J75">
        <v>2.2069999999999999</v>
      </c>
      <c r="K75">
        <v>0.90900000000000003</v>
      </c>
      <c r="L75">
        <v>3.75</v>
      </c>
      <c r="M75">
        <v>6.37</v>
      </c>
      <c r="N75">
        <v>5.35</v>
      </c>
      <c r="O75">
        <v>4.0199999999999996</v>
      </c>
      <c r="P75">
        <f t="shared" si="1"/>
        <v>4.8725000000000005</v>
      </c>
      <c r="Q75">
        <v>3.7244693748995542E-2</v>
      </c>
      <c r="R75">
        <v>0.10412707317544521</v>
      </c>
      <c r="S75">
        <v>0.81552445534554907</v>
      </c>
      <c r="T75">
        <v>0.98036801909638305</v>
      </c>
      <c r="U75">
        <v>0.98243633867334212</v>
      </c>
      <c r="V75">
        <v>8.6108644502590776E-3</v>
      </c>
      <c r="W75">
        <v>405</v>
      </c>
      <c r="X75">
        <v>547</v>
      </c>
      <c r="Y75">
        <v>0.81288888888888888</v>
      </c>
      <c r="Z75">
        <v>8.9968812634945619E-2</v>
      </c>
      <c r="AB75">
        <v>20.150633060248584</v>
      </c>
      <c r="AC75">
        <v>18.035949343006855</v>
      </c>
      <c r="AD75">
        <v>18.358389885457779</v>
      </c>
    </row>
    <row r="76" spans="1:30" x14ac:dyDescent="0.3">
      <c r="A76">
        <v>74</v>
      </c>
      <c r="B76" t="s">
        <v>194</v>
      </c>
      <c r="C76" t="s">
        <v>189</v>
      </c>
      <c r="D76">
        <v>2</v>
      </c>
      <c r="E76" t="s">
        <v>21</v>
      </c>
      <c r="F76">
        <v>1</v>
      </c>
      <c r="G76" t="s">
        <v>192</v>
      </c>
      <c r="H76" t="s">
        <v>309</v>
      </c>
      <c r="I76" s="13"/>
      <c r="J76">
        <v>1.2789999999999999</v>
      </c>
      <c r="K76">
        <v>0.32</v>
      </c>
      <c r="L76">
        <v>2.33</v>
      </c>
      <c r="M76">
        <v>2.31</v>
      </c>
      <c r="N76">
        <v>2.37</v>
      </c>
      <c r="O76">
        <v>1.93</v>
      </c>
      <c r="P76">
        <f t="shared" si="1"/>
        <v>2.2350000000000003</v>
      </c>
      <c r="Q76">
        <v>3.6332578800040545E-2</v>
      </c>
      <c r="R76">
        <v>0.28931312631082795</v>
      </c>
      <c r="S76">
        <v>0.85901529960643275</v>
      </c>
      <c r="T76">
        <v>0.95635900638381854</v>
      </c>
      <c r="U76">
        <v>0.53863186170273736</v>
      </c>
      <c r="V76">
        <v>1.937904786665394E-2</v>
      </c>
      <c r="W76">
        <v>410</v>
      </c>
      <c r="X76">
        <v>591</v>
      </c>
      <c r="Y76">
        <v>0.76159999999999994</v>
      </c>
      <c r="Z76">
        <v>0.1182730646235821</v>
      </c>
      <c r="AB76">
        <v>26.720016327520618</v>
      </c>
      <c r="AC76">
        <v>23.915922438930959</v>
      </c>
      <c r="AD76">
        <v>44.401239769454612</v>
      </c>
    </row>
    <row r="77" spans="1:30" x14ac:dyDescent="0.3">
      <c r="A77">
        <v>75</v>
      </c>
      <c r="B77" t="s">
        <v>194</v>
      </c>
      <c r="C77" t="s">
        <v>189</v>
      </c>
      <c r="D77">
        <v>2</v>
      </c>
      <c r="E77" t="s">
        <v>21</v>
      </c>
      <c r="F77">
        <v>3</v>
      </c>
      <c r="G77" t="s">
        <v>28</v>
      </c>
      <c r="H77" t="s">
        <v>310</v>
      </c>
      <c r="I77" s="13"/>
      <c r="J77">
        <v>4.59</v>
      </c>
      <c r="K77">
        <v>1.5780000000000001</v>
      </c>
      <c r="L77">
        <v>5.34</v>
      </c>
      <c r="M77">
        <v>3.56</v>
      </c>
      <c r="N77">
        <v>4.37</v>
      </c>
      <c r="O77">
        <v>3.53</v>
      </c>
      <c r="P77">
        <f t="shared" si="1"/>
        <v>4.2</v>
      </c>
      <c r="Q77">
        <v>3.3506205041442659E-2</v>
      </c>
      <c r="R77">
        <v>0.15054938232683904</v>
      </c>
      <c r="S77">
        <v>0.79428123662969863</v>
      </c>
      <c r="T77">
        <v>0.9958630722337759</v>
      </c>
      <c r="U77">
        <v>0.82232102196852985</v>
      </c>
      <c r="V77">
        <v>1.80037147726093E-3</v>
      </c>
      <c r="W77">
        <v>349</v>
      </c>
      <c r="X77">
        <v>565</v>
      </c>
      <c r="Y77">
        <v>0.67759338061465724</v>
      </c>
      <c r="Z77">
        <v>0.16903084526378639</v>
      </c>
      <c r="AB77">
        <v>40.767065683287569</v>
      </c>
      <c r="AC77">
        <v>36.488726774049589</v>
      </c>
      <c r="AD77">
        <v>44.372849287861214</v>
      </c>
    </row>
    <row r="78" spans="1:30" x14ac:dyDescent="0.3">
      <c r="A78">
        <v>76</v>
      </c>
      <c r="B78" t="s">
        <v>194</v>
      </c>
      <c r="C78" t="s">
        <v>189</v>
      </c>
      <c r="D78">
        <v>2</v>
      </c>
      <c r="E78" t="s">
        <v>21</v>
      </c>
      <c r="F78">
        <v>6</v>
      </c>
      <c r="G78" t="s">
        <v>27</v>
      </c>
      <c r="H78" t="s">
        <v>311</v>
      </c>
      <c r="I78" s="13"/>
      <c r="J78">
        <v>0.89300000000000002</v>
      </c>
      <c r="K78">
        <v>0.16200000000000001</v>
      </c>
      <c r="L78">
        <v>1.34</v>
      </c>
      <c r="M78">
        <v>1.55</v>
      </c>
      <c r="N78">
        <v>1.38</v>
      </c>
      <c r="O78">
        <v>1.35</v>
      </c>
      <c r="P78">
        <f t="shared" si="1"/>
        <v>1.4049999999999998</v>
      </c>
      <c r="Q78">
        <v>5.4872148119239315E-2</v>
      </c>
      <c r="R78">
        <v>0.30133936868936023</v>
      </c>
      <c r="S78">
        <v>0.83865532986931202</v>
      </c>
      <c r="T78">
        <v>0.94442423860710012</v>
      </c>
      <c r="U78">
        <v>0.52094412591829198</v>
      </c>
      <c r="V78">
        <v>2.4832875301243802E-2</v>
      </c>
      <c r="W78">
        <v>487</v>
      </c>
      <c r="X78">
        <v>691</v>
      </c>
      <c r="Y78">
        <v>0.77412560386473428</v>
      </c>
      <c r="Z78">
        <v>0.1111885682063095</v>
      </c>
      <c r="AB78">
        <v>24.990818046563415</v>
      </c>
      <c r="AC78">
        <v>22.368195253094591</v>
      </c>
      <c r="AD78">
        <v>42.937801081191104</v>
      </c>
    </row>
    <row r="79" spans="1:30" x14ac:dyDescent="0.3">
      <c r="A79">
        <v>77</v>
      </c>
      <c r="B79" t="s">
        <v>194</v>
      </c>
      <c r="C79" t="s">
        <v>189</v>
      </c>
      <c r="D79">
        <v>2</v>
      </c>
      <c r="E79" t="s">
        <v>21</v>
      </c>
      <c r="F79">
        <v>7</v>
      </c>
      <c r="G79" t="s">
        <v>24</v>
      </c>
      <c r="H79" t="s">
        <v>312</v>
      </c>
      <c r="I79" s="13"/>
      <c r="J79">
        <v>1.29</v>
      </c>
      <c r="K79">
        <v>0.52</v>
      </c>
      <c r="L79">
        <v>2.96</v>
      </c>
      <c r="M79">
        <v>2.36</v>
      </c>
      <c r="N79">
        <v>4.6500000000000004</v>
      </c>
      <c r="O79">
        <v>3.7</v>
      </c>
      <c r="P79">
        <f t="shared" si="1"/>
        <v>3.4175000000000004</v>
      </c>
      <c r="Q79">
        <v>4.8181227637401541E-2</v>
      </c>
      <c r="R79">
        <v>0.1425205346480945</v>
      </c>
      <c r="S79">
        <v>0.78899206238107833</v>
      </c>
      <c r="T79">
        <v>0.95118250296631479</v>
      </c>
      <c r="U79">
        <v>0.84612255711612672</v>
      </c>
      <c r="V79">
        <v>2.173614717728474E-2</v>
      </c>
      <c r="W79">
        <v>398</v>
      </c>
      <c r="X79">
        <v>624</v>
      </c>
      <c r="Y79">
        <v>0.70004494382022475</v>
      </c>
      <c r="Z79">
        <v>0.15487407680497511</v>
      </c>
      <c r="AB79">
        <v>36.556615619602525</v>
      </c>
      <c r="AC79">
        <v>32.7201771692093</v>
      </c>
      <c r="AD79">
        <v>38.670730255355423</v>
      </c>
    </row>
    <row r="80" spans="1:30" x14ac:dyDescent="0.3">
      <c r="A80">
        <v>78</v>
      </c>
      <c r="B80" t="s">
        <v>194</v>
      </c>
      <c r="C80" t="s">
        <v>189</v>
      </c>
      <c r="D80">
        <v>2</v>
      </c>
      <c r="E80" t="s">
        <v>21</v>
      </c>
      <c r="F80">
        <v>12</v>
      </c>
      <c r="G80" t="s">
        <v>29</v>
      </c>
      <c r="H80" t="s">
        <v>313</v>
      </c>
      <c r="I80" s="13"/>
      <c r="J80">
        <v>1.552</v>
      </c>
      <c r="K80">
        <v>0.46200000000000002</v>
      </c>
      <c r="L80">
        <v>4.41</v>
      </c>
      <c r="M80">
        <v>4.2300000000000004</v>
      </c>
      <c r="N80">
        <v>3.62</v>
      </c>
      <c r="O80">
        <v>4.3899999999999997</v>
      </c>
      <c r="P80">
        <f t="shared" si="1"/>
        <v>4.1625000000000005</v>
      </c>
      <c r="Q80">
        <v>5.0326398903236376E-2</v>
      </c>
      <c r="R80">
        <v>0.39336419784687765</v>
      </c>
      <c r="S80">
        <v>0.80842280077079642</v>
      </c>
      <c r="T80">
        <v>1.0316780504734326</v>
      </c>
      <c r="U80">
        <v>0.40520517005243062</v>
      </c>
      <c r="V80">
        <v>-1.3544190782372711E-2</v>
      </c>
      <c r="W80">
        <v>338</v>
      </c>
      <c r="X80">
        <v>560</v>
      </c>
      <c r="Y80">
        <v>0.66198211091234349</v>
      </c>
      <c r="Z80">
        <v>0.17915374656789707</v>
      </c>
      <c r="AB80">
        <v>43.916576207942164</v>
      </c>
      <c r="AC80">
        <v>39.307680796374783</v>
      </c>
      <c r="AD80">
        <v>97.00685899760029</v>
      </c>
    </row>
    <row r="81" spans="1:31" x14ac:dyDescent="0.3">
      <c r="A81">
        <v>79</v>
      </c>
      <c r="B81" t="s">
        <v>194</v>
      </c>
      <c r="C81" t="s">
        <v>189</v>
      </c>
      <c r="D81">
        <v>2</v>
      </c>
      <c r="E81" t="s">
        <v>21</v>
      </c>
      <c r="F81">
        <v>14</v>
      </c>
      <c r="G81" t="s">
        <v>25</v>
      </c>
      <c r="H81" t="s">
        <v>314</v>
      </c>
      <c r="I81" s="13"/>
      <c r="J81">
        <v>2.1800000000000002</v>
      </c>
      <c r="K81">
        <v>0.53700000000000003</v>
      </c>
      <c r="L81">
        <v>1.51</v>
      </c>
      <c r="M81">
        <v>1.07</v>
      </c>
      <c r="N81">
        <v>1.26</v>
      </c>
      <c r="O81">
        <v>1.26</v>
      </c>
      <c r="P81">
        <f t="shared" si="1"/>
        <v>1.2749999999999999</v>
      </c>
      <c r="Q81">
        <v>3.1077492589560867E-2</v>
      </c>
      <c r="R81">
        <v>0.15376665057620381</v>
      </c>
      <c r="S81">
        <v>0.75297866444998618</v>
      </c>
      <c r="T81">
        <v>0.85504920760465253</v>
      </c>
      <c r="U81">
        <v>0.8131378455568733</v>
      </c>
      <c r="V81">
        <v>6.8008891147589123E-2</v>
      </c>
      <c r="W81">
        <v>506</v>
      </c>
      <c r="X81">
        <v>668</v>
      </c>
      <c r="Y81">
        <v>0.83219190404797594</v>
      </c>
      <c r="Z81">
        <v>7.977651354234154E-2</v>
      </c>
      <c r="AB81">
        <v>18.006590797350622</v>
      </c>
      <c r="AC81">
        <v>16.116898659887823</v>
      </c>
      <c r="AD81">
        <v>19.820622970574256</v>
      </c>
    </row>
    <row r="82" spans="1:31" x14ac:dyDescent="0.3">
      <c r="A82">
        <v>80</v>
      </c>
      <c r="B82" t="s">
        <v>194</v>
      </c>
      <c r="C82" t="s">
        <v>189</v>
      </c>
      <c r="D82">
        <v>2</v>
      </c>
      <c r="E82" t="s">
        <v>21</v>
      </c>
      <c r="F82">
        <v>16</v>
      </c>
      <c r="G82" t="s">
        <v>23</v>
      </c>
      <c r="H82" t="s">
        <v>315</v>
      </c>
      <c r="I82" s="13"/>
      <c r="J82">
        <v>1.698</v>
      </c>
      <c r="K82">
        <v>0.46500000000000002</v>
      </c>
      <c r="L82">
        <v>2.73</v>
      </c>
      <c r="M82">
        <v>3</v>
      </c>
      <c r="N82">
        <v>2.4500000000000002</v>
      </c>
      <c r="O82">
        <v>1.93</v>
      </c>
      <c r="P82">
        <f t="shared" si="1"/>
        <v>2.5274999999999999</v>
      </c>
      <c r="Q82">
        <v>6.958813138248808E-2</v>
      </c>
      <c r="R82">
        <v>0.15959297035857883</v>
      </c>
      <c r="S82">
        <v>0.77461654623285536</v>
      </c>
      <c r="T82">
        <v>0.95901750729690349</v>
      </c>
      <c r="U82">
        <v>0.79698624206871527</v>
      </c>
      <c r="V82">
        <v>1.8173464515429411E-2</v>
      </c>
      <c r="W82">
        <v>431</v>
      </c>
      <c r="X82">
        <v>655</v>
      </c>
      <c r="Y82">
        <v>0.72243425076452594</v>
      </c>
      <c r="Z82">
        <v>0.14120167221086088</v>
      </c>
      <c r="AB82">
        <v>32.70509440946735</v>
      </c>
      <c r="AC82">
        <v>29.272877759539305</v>
      </c>
      <c r="AD82">
        <v>36.729464342516756</v>
      </c>
    </row>
    <row r="83" spans="1:31" x14ac:dyDescent="0.3">
      <c r="A83">
        <v>81</v>
      </c>
      <c r="B83" t="s">
        <v>194</v>
      </c>
      <c r="C83" t="s">
        <v>189</v>
      </c>
      <c r="D83">
        <v>3</v>
      </c>
      <c r="E83" t="s">
        <v>21</v>
      </c>
      <c r="F83">
        <v>2</v>
      </c>
      <c r="G83" t="s">
        <v>192</v>
      </c>
      <c r="H83" t="s">
        <v>316</v>
      </c>
      <c r="I83" s="13"/>
      <c r="J83">
        <v>5.415</v>
      </c>
      <c r="K83">
        <v>1.38</v>
      </c>
      <c r="L83">
        <v>3.03</v>
      </c>
      <c r="M83">
        <v>3.78</v>
      </c>
      <c r="N83">
        <v>3.94</v>
      </c>
      <c r="O83">
        <v>3.86</v>
      </c>
      <c r="P83">
        <f t="shared" si="1"/>
        <v>3.6524999999999999</v>
      </c>
      <c r="Q83">
        <v>4.2503664830879632E-2</v>
      </c>
      <c r="R83">
        <v>9.6397702878096223E-2</v>
      </c>
      <c r="S83">
        <v>0.72045077961246762</v>
      </c>
      <c r="T83">
        <v>0.97905155310929615</v>
      </c>
      <c r="U83">
        <v>1.0159333150520813</v>
      </c>
      <c r="V83">
        <v>9.1944393087964628E-3</v>
      </c>
      <c r="W83">
        <v>377</v>
      </c>
      <c r="X83">
        <v>651</v>
      </c>
      <c r="Y83">
        <v>0.63538461538461533</v>
      </c>
      <c r="Z83">
        <v>0.19696330498645459</v>
      </c>
      <c r="AB83">
        <v>49.738543575117141</v>
      </c>
      <c r="AC83">
        <v>44.518594391330893</v>
      </c>
      <c r="AD83">
        <v>43.820390306866422</v>
      </c>
    </row>
    <row r="84" spans="1:31" x14ac:dyDescent="0.3">
      <c r="A84">
        <v>82</v>
      </c>
      <c r="B84" t="s">
        <v>194</v>
      </c>
      <c r="C84" t="s">
        <v>189</v>
      </c>
      <c r="D84">
        <v>3</v>
      </c>
      <c r="E84" t="s">
        <v>21</v>
      </c>
      <c r="F84">
        <v>3</v>
      </c>
      <c r="G84" t="s">
        <v>24</v>
      </c>
      <c r="H84" t="s">
        <v>317</v>
      </c>
      <c r="I84" s="13"/>
      <c r="J84">
        <v>1.57</v>
      </c>
      <c r="K84">
        <v>0.55000000000000004</v>
      </c>
      <c r="L84">
        <v>3.68</v>
      </c>
      <c r="M84">
        <v>3.73</v>
      </c>
      <c r="N84">
        <v>3.38</v>
      </c>
      <c r="O84">
        <v>4.2</v>
      </c>
      <c r="P84">
        <f t="shared" si="1"/>
        <v>3.7474999999999996</v>
      </c>
      <c r="Q84">
        <v>3.9028419385541031E-2</v>
      </c>
      <c r="R84">
        <v>7.9812047008889261E-2</v>
      </c>
      <c r="S84">
        <v>0.77255076789879384</v>
      </c>
      <c r="T84">
        <v>0.96401744399177636</v>
      </c>
      <c r="U84">
        <v>1.0979315503209108</v>
      </c>
      <c r="V84">
        <v>1.5915107424111417E-2</v>
      </c>
      <c r="W84">
        <v>391</v>
      </c>
      <c r="X84">
        <v>578</v>
      </c>
      <c r="Y84">
        <v>0.74249335644136327</v>
      </c>
      <c r="Z84">
        <v>0.12930742790134159</v>
      </c>
      <c r="AB84">
        <v>29.526210646716454</v>
      </c>
      <c r="AC84">
        <v>26.427615014696801</v>
      </c>
      <c r="AD84">
        <v>24.070366688134939</v>
      </c>
    </row>
    <row r="85" spans="1:31" x14ac:dyDescent="0.3">
      <c r="A85">
        <v>83</v>
      </c>
      <c r="B85" t="s">
        <v>194</v>
      </c>
      <c r="C85" t="s">
        <v>189</v>
      </c>
      <c r="D85">
        <v>3</v>
      </c>
      <c r="E85" t="s">
        <v>21</v>
      </c>
      <c r="F85">
        <v>5</v>
      </c>
      <c r="G85" t="s">
        <v>28</v>
      </c>
      <c r="H85" t="s">
        <v>318</v>
      </c>
      <c r="I85" s="13"/>
      <c r="J85">
        <v>1.222</v>
      </c>
      <c r="K85">
        <v>0.40799999999999997</v>
      </c>
      <c r="L85">
        <v>4.1900000000000004</v>
      </c>
      <c r="M85">
        <v>3.72</v>
      </c>
      <c r="N85">
        <v>3.94</v>
      </c>
      <c r="O85">
        <v>3.86</v>
      </c>
      <c r="P85">
        <f t="shared" si="1"/>
        <v>3.9274999999999998</v>
      </c>
      <c r="Q85">
        <v>2.884739474169886E-2</v>
      </c>
      <c r="R85">
        <v>0.14196094276920196</v>
      </c>
      <c r="S85">
        <v>0.94092521640414362</v>
      </c>
      <c r="T85">
        <v>0.86042406969777441</v>
      </c>
      <c r="U85">
        <v>0.84783112514508041</v>
      </c>
      <c r="V85">
        <v>6.5287449062456135E-2</v>
      </c>
      <c r="W85">
        <v>550</v>
      </c>
      <c r="X85">
        <v>658</v>
      </c>
      <c r="Y85">
        <v>0.91861593099949257</v>
      </c>
      <c r="Z85">
        <v>3.6866027146729485E-2</v>
      </c>
      <c r="AB85">
        <v>10.266790426335852</v>
      </c>
      <c r="AC85">
        <v>9.189230788149569</v>
      </c>
      <c r="AD85">
        <v>10.838515496322588</v>
      </c>
    </row>
    <row r="86" spans="1:31" x14ac:dyDescent="0.3">
      <c r="A86">
        <v>84</v>
      </c>
      <c r="B86" t="s">
        <v>194</v>
      </c>
      <c r="C86" t="s">
        <v>189</v>
      </c>
      <c r="D86">
        <v>3</v>
      </c>
      <c r="E86" t="s">
        <v>21</v>
      </c>
      <c r="F86">
        <v>9</v>
      </c>
      <c r="G86" t="s">
        <v>27</v>
      </c>
      <c r="H86" t="s">
        <v>319</v>
      </c>
      <c r="I86" s="13"/>
      <c r="J86">
        <v>0.84</v>
      </c>
      <c r="K86">
        <v>0.216</v>
      </c>
      <c r="L86">
        <v>1.89</v>
      </c>
      <c r="M86">
        <v>2.2999999999999998</v>
      </c>
      <c r="N86">
        <v>2.2999999999999998</v>
      </c>
      <c r="O86">
        <v>2.2000000000000002</v>
      </c>
      <c r="P86">
        <f t="shared" si="1"/>
        <v>2.1724999999999999</v>
      </c>
      <c r="Q86">
        <v>3.6927544610084878E-2</v>
      </c>
      <c r="R86">
        <v>0.17756572830140546</v>
      </c>
      <c r="S86">
        <v>0.80203282638156903</v>
      </c>
      <c r="T86">
        <v>0.79818664185375277</v>
      </c>
      <c r="U86">
        <v>0.75064085300484462</v>
      </c>
      <c r="V86">
        <v>9.7895544677462976E-2</v>
      </c>
      <c r="W86">
        <v>559</v>
      </c>
      <c r="X86">
        <v>632</v>
      </c>
      <c r="Y86">
        <v>0.97217538298996298</v>
      </c>
      <c r="Z86">
        <v>1.2255380141723263E-2</v>
      </c>
      <c r="AB86">
        <v>6.7661644881793181</v>
      </c>
      <c r="AC86">
        <v>6.0558664512418412</v>
      </c>
      <c r="AD86">
        <v>8.0675950782587584</v>
      </c>
    </row>
    <row r="87" spans="1:31" x14ac:dyDescent="0.3">
      <c r="A87">
        <v>85</v>
      </c>
      <c r="B87" t="s">
        <v>194</v>
      </c>
      <c r="C87" t="s">
        <v>189</v>
      </c>
      <c r="D87">
        <v>3</v>
      </c>
      <c r="E87" t="s">
        <v>21</v>
      </c>
      <c r="F87">
        <v>10</v>
      </c>
      <c r="G87" t="s">
        <v>23</v>
      </c>
      <c r="H87" t="s">
        <v>320</v>
      </c>
      <c r="I87" s="13"/>
      <c r="J87">
        <v>1.02</v>
      </c>
      <c r="K87">
        <v>0.28999999999999998</v>
      </c>
      <c r="L87">
        <v>2.0299999999999998</v>
      </c>
      <c r="M87">
        <v>2.2999999999999998</v>
      </c>
      <c r="N87">
        <v>1.81</v>
      </c>
      <c r="O87">
        <v>1.89</v>
      </c>
      <c r="P87">
        <f t="shared" si="1"/>
        <v>2.0075000000000003</v>
      </c>
      <c r="Q87">
        <v>3.3358610318380423E-2</v>
      </c>
      <c r="R87">
        <v>8.5461437118583117E-2</v>
      </c>
      <c r="S87">
        <v>0.69823240910774065</v>
      </c>
      <c r="T87">
        <v>0.90251523486255514</v>
      </c>
      <c r="U87">
        <v>1.0682298083662041</v>
      </c>
      <c r="V87">
        <v>4.4545458274497379E-2</v>
      </c>
      <c r="W87">
        <v>533</v>
      </c>
      <c r="X87">
        <v>699</v>
      </c>
      <c r="Y87">
        <v>0.83783381088825215</v>
      </c>
      <c r="Z87">
        <v>7.6842117613009853E-2</v>
      </c>
      <c r="AB87">
        <v>17.411066487307885</v>
      </c>
      <c r="AC87">
        <v>15.583866368635059</v>
      </c>
      <c r="AD87">
        <v>14.588496076953408</v>
      </c>
    </row>
    <row r="88" spans="1:31" x14ac:dyDescent="0.3">
      <c r="A88">
        <v>86</v>
      </c>
      <c r="B88" t="s">
        <v>194</v>
      </c>
      <c r="C88" t="s">
        <v>189</v>
      </c>
      <c r="D88">
        <v>3</v>
      </c>
      <c r="E88" t="s">
        <v>21</v>
      </c>
      <c r="F88">
        <v>14</v>
      </c>
      <c r="G88" t="s">
        <v>22</v>
      </c>
      <c r="H88" t="s">
        <v>321</v>
      </c>
      <c r="I88" s="13"/>
      <c r="J88">
        <v>2.7149999999999999</v>
      </c>
      <c r="K88">
        <v>1.05</v>
      </c>
      <c r="L88">
        <v>4.97</v>
      </c>
      <c r="M88">
        <v>5</v>
      </c>
      <c r="N88">
        <v>4.6100000000000003</v>
      </c>
      <c r="O88">
        <v>4.22</v>
      </c>
      <c r="P88">
        <f t="shared" si="1"/>
        <v>4.6999999999999993</v>
      </c>
      <c r="Q88">
        <v>3.9160495254866041E-2</v>
      </c>
      <c r="R88">
        <v>0.17708303874013009</v>
      </c>
      <c r="S88">
        <v>0.79630602070651091</v>
      </c>
      <c r="T88">
        <v>0.91123566350060325</v>
      </c>
      <c r="U88">
        <v>0.75182303414774532</v>
      </c>
      <c r="V88">
        <v>4.0369291388983021E-2</v>
      </c>
      <c r="W88">
        <v>518</v>
      </c>
      <c r="X88">
        <v>665</v>
      </c>
      <c r="Y88">
        <v>0.855855421686747</v>
      </c>
      <c r="Z88">
        <v>6.7599593812123965E-2</v>
      </c>
      <c r="AB88">
        <v>15.598888686515624</v>
      </c>
      <c r="AC88">
        <v>13.961848073621173</v>
      </c>
      <c r="AD88">
        <v>18.570657507784532</v>
      </c>
    </row>
    <row r="89" spans="1:31" x14ac:dyDescent="0.3">
      <c r="A89">
        <v>87</v>
      </c>
      <c r="B89" t="s">
        <v>194</v>
      </c>
      <c r="C89" t="s">
        <v>189</v>
      </c>
      <c r="D89" s="6">
        <v>4</v>
      </c>
      <c r="E89" s="6" t="s">
        <v>21</v>
      </c>
      <c r="F89" s="6">
        <v>2</v>
      </c>
      <c r="G89" s="6" t="s">
        <v>25</v>
      </c>
      <c r="H89" t="s">
        <v>322</v>
      </c>
      <c r="I89" s="13"/>
      <c r="J89" s="6">
        <v>2.9990000000000001</v>
      </c>
      <c r="K89" s="6">
        <v>0.56799999999999995</v>
      </c>
      <c r="L89" s="6">
        <v>1.61</v>
      </c>
      <c r="M89" s="6">
        <v>1.31</v>
      </c>
      <c r="N89" s="6">
        <v>1.2</v>
      </c>
      <c r="O89" s="6">
        <v>1.35</v>
      </c>
      <c r="P89">
        <f t="shared" si="1"/>
        <v>1.3675000000000002</v>
      </c>
      <c r="Q89" s="6">
        <v>2.7432834471231467E-2</v>
      </c>
      <c r="R89" s="6">
        <v>0.10200880570838743</v>
      </c>
      <c r="S89" s="6">
        <v>0.81082080284689406</v>
      </c>
      <c r="T89" s="6">
        <v>0.87214794855278044</v>
      </c>
      <c r="U89" s="6">
        <v>0.9913623370077308</v>
      </c>
      <c r="V89" s="6">
        <v>5.9409836409282747E-2</v>
      </c>
      <c r="W89" s="6">
        <v>536</v>
      </c>
      <c r="X89" s="6">
        <v>625</v>
      </c>
      <c r="Y89" s="6">
        <v>0.94248717948717942</v>
      </c>
      <c r="Z89" s="6">
        <v>2.5724548725185432E-2</v>
      </c>
      <c r="AA89" s="6"/>
      <c r="AB89" s="6">
        <v>8.5972776147516434</v>
      </c>
      <c r="AC89" s="6">
        <v>7.6948782994803144</v>
      </c>
      <c r="AD89" s="6">
        <v>7.7619231760468912</v>
      </c>
      <c r="AE89" t="s">
        <v>196</v>
      </c>
    </row>
    <row r="90" spans="1:31" x14ac:dyDescent="0.3">
      <c r="A90">
        <v>88</v>
      </c>
      <c r="B90" t="s">
        <v>194</v>
      </c>
      <c r="C90" t="s">
        <v>189</v>
      </c>
      <c r="D90" s="6">
        <v>4</v>
      </c>
      <c r="E90" s="6" t="s">
        <v>21</v>
      </c>
      <c r="F90" s="6">
        <v>6</v>
      </c>
      <c r="G90" s="6" t="s">
        <v>30</v>
      </c>
      <c r="H90" t="s">
        <v>323</v>
      </c>
      <c r="I90" s="13"/>
      <c r="J90" s="6">
        <v>0.72899999999999998</v>
      </c>
      <c r="K90" s="6">
        <v>0.22</v>
      </c>
      <c r="L90" s="6">
        <v>4.2</v>
      </c>
      <c r="M90" s="6">
        <v>4.46</v>
      </c>
      <c r="N90" s="6">
        <v>4.2</v>
      </c>
      <c r="O90" s="6">
        <v>5</v>
      </c>
      <c r="P90">
        <f t="shared" si="1"/>
        <v>4.4649999999999999</v>
      </c>
      <c r="Q90" s="6">
        <v>5.4030238579726463E-2</v>
      </c>
      <c r="R90" s="6">
        <v>0.13959133674422286</v>
      </c>
      <c r="S90" s="6">
        <v>0.84306187826673418</v>
      </c>
      <c r="T90" s="6">
        <v>0.96426857685506684</v>
      </c>
      <c r="U90" s="6">
        <v>0.85514153386849701</v>
      </c>
      <c r="V90" s="6">
        <v>1.5801985598625799E-2</v>
      </c>
      <c r="W90" s="6">
        <v>507</v>
      </c>
      <c r="X90" s="6">
        <v>705</v>
      </c>
      <c r="Y90" s="6">
        <v>0.7900189393939393</v>
      </c>
      <c r="Z90" s="6">
        <v>0.10236249709476872</v>
      </c>
      <c r="AA90" s="6"/>
      <c r="AB90" s="6">
        <v>22.91583505876234</v>
      </c>
      <c r="AC90" s="6">
        <v>20.510968257682379</v>
      </c>
      <c r="AD90" s="6">
        <v>23.985466084069937</v>
      </c>
      <c r="AE90" t="s">
        <v>196</v>
      </c>
    </row>
    <row r="91" spans="1:31" x14ac:dyDescent="0.3">
      <c r="A91">
        <v>89</v>
      </c>
      <c r="B91" t="s">
        <v>194</v>
      </c>
      <c r="C91" t="s">
        <v>189</v>
      </c>
      <c r="D91" s="6">
        <v>4</v>
      </c>
      <c r="E91" s="6" t="s">
        <v>21</v>
      </c>
      <c r="F91" s="6">
        <v>3</v>
      </c>
      <c r="G91" s="6" t="s">
        <v>22</v>
      </c>
      <c r="H91" t="s">
        <v>324</v>
      </c>
      <c r="I91" s="13"/>
      <c r="J91" s="6">
        <v>1.2470000000000001</v>
      </c>
      <c r="K91" s="6">
        <v>0.253</v>
      </c>
      <c r="L91" s="6">
        <v>1.68</v>
      </c>
      <c r="M91" s="6">
        <v>1.86</v>
      </c>
      <c r="N91" s="6">
        <v>2.09</v>
      </c>
      <c r="O91" s="6">
        <v>2.11</v>
      </c>
      <c r="P91">
        <f t="shared" si="1"/>
        <v>1.9350000000000001</v>
      </c>
      <c r="Q91" s="6">
        <v>3.3742079048052098E-2</v>
      </c>
      <c r="R91" s="6">
        <v>0.21297483770020914</v>
      </c>
      <c r="S91" s="6">
        <v>1.0148761359392506</v>
      </c>
      <c r="T91" s="6">
        <v>0.65765837317858267</v>
      </c>
      <c r="U91" s="6">
        <v>0.67167170404234666</v>
      </c>
      <c r="V91" s="6">
        <v>0.18199964616106645</v>
      </c>
      <c r="W91" s="6">
        <v>635</v>
      </c>
      <c r="X91" s="6">
        <v>691</v>
      </c>
      <c r="Y91" s="6">
        <v>1.0103536231884058</v>
      </c>
      <c r="Z91" s="6">
        <v>-4.4734032087819673E-3</v>
      </c>
      <c r="AA91" s="6"/>
      <c r="AB91" s="6">
        <v>4.7771940656677261</v>
      </c>
      <c r="AC91" s="6">
        <v>4.27553508554029</v>
      </c>
      <c r="AD91" s="6">
        <v>6.3655131812292804</v>
      </c>
      <c r="AE91" t="s">
        <v>196</v>
      </c>
    </row>
    <row r="92" spans="1:31" x14ac:dyDescent="0.3">
      <c r="A92">
        <v>90</v>
      </c>
      <c r="B92" t="s">
        <v>194</v>
      </c>
      <c r="C92" t="s">
        <v>189</v>
      </c>
      <c r="D92" s="6">
        <v>4</v>
      </c>
      <c r="E92" s="6" t="s">
        <v>21</v>
      </c>
      <c r="F92" s="6">
        <v>8</v>
      </c>
      <c r="G92" s="6" t="s">
        <v>27</v>
      </c>
      <c r="H92" t="s">
        <v>325</v>
      </c>
      <c r="I92" s="13"/>
      <c r="J92" s="6">
        <v>1.08</v>
      </c>
      <c r="K92" s="6">
        <v>0.34200000000000003</v>
      </c>
      <c r="L92" s="6">
        <v>1.39</v>
      </c>
      <c r="M92" s="6">
        <v>3.84</v>
      </c>
      <c r="N92" s="6">
        <v>1.98</v>
      </c>
      <c r="O92" s="6">
        <v>2.42</v>
      </c>
      <c r="P92">
        <f t="shared" si="1"/>
        <v>2.4074999999999998</v>
      </c>
      <c r="Q92" s="6">
        <v>4.2432911151530403E-2</v>
      </c>
      <c r="R92" s="6">
        <v>0.45193166747454128</v>
      </c>
      <c r="S92" s="6">
        <v>0.88236249107084885</v>
      </c>
      <c r="T92" s="6">
        <v>0.94994629208619874</v>
      </c>
      <c r="U92" s="6">
        <v>0.34492722598990544</v>
      </c>
      <c r="V92" s="6">
        <v>2.2300948090057476E-2</v>
      </c>
      <c r="W92" s="6">
        <v>441</v>
      </c>
      <c r="X92" s="6">
        <v>658</v>
      </c>
      <c r="Y92" s="6">
        <v>0.73589852866565197</v>
      </c>
      <c r="Z92" s="6">
        <v>0.13318206538897723</v>
      </c>
      <c r="AA92" s="6"/>
      <c r="AB92" s="6">
        <v>30.544207809436525</v>
      </c>
      <c r="AC92" s="6">
        <v>27.338775000840243</v>
      </c>
      <c r="AD92" s="6">
        <v>79.25954503121865</v>
      </c>
      <c r="AE92" t="s">
        <v>196</v>
      </c>
    </row>
    <row r="93" spans="1:31" x14ac:dyDescent="0.3">
      <c r="A93">
        <v>91</v>
      </c>
      <c r="B93" t="s">
        <v>194</v>
      </c>
      <c r="C93" t="s">
        <v>189</v>
      </c>
      <c r="D93" s="6">
        <v>4</v>
      </c>
      <c r="E93" s="6" t="s">
        <v>21</v>
      </c>
      <c r="F93" s="6">
        <v>12</v>
      </c>
      <c r="G93" s="6" t="s">
        <v>24</v>
      </c>
      <c r="H93" t="s">
        <v>326</v>
      </c>
      <c r="I93" s="13"/>
      <c r="J93" s="6">
        <v>0.97</v>
      </c>
      <c r="K93" s="6">
        <v>0.27500000000000002</v>
      </c>
      <c r="L93" s="6">
        <v>2.0699999999999998</v>
      </c>
      <c r="M93" s="6">
        <v>2.25</v>
      </c>
      <c r="N93" s="6">
        <v>1.96</v>
      </c>
      <c r="O93" s="6">
        <v>1.7</v>
      </c>
      <c r="P93">
        <f t="shared" si="1"/>
        <v>1.9950000000000001</v>
      </c>
      <c r="Q93" s="6">
        <v>3.7975604974445118E-2</v>
      </c>
      <c r="R93" s="6">
        <v>4.7776735153665241E-2</v>
      </c>
      <c r="S93" s="6">
        <v>0.72207968825598579</v>
      </c>
      <c r="T93" s="6">
        <v>0.86876866835297206</v>
      </c>
      <c r="U93" s="6">
        <v>1.3207835312959137</v>
      </c>
      <c r="V93" s="6">
        <v>6.1095850055846938E-2</v>
      </c>
      <c r="W93" s="6">
        <v>414</v>
      </c>
      <c r="X93" s="6">
        <v>566</v>
      </c>
      <c r="Y93" s="6">
        <v>0.80309616519174043</v>
      </c>
      <c r="Z93" s="6">
        <v>9.5232447857621749E-2</v>
      </c>
      <c r="AA93" s="6"/>
      <c r="AB93" s="6">
        <v>21.303828772496139</v>
      </c>
      <c r="AC93" s="6">
        <v>19.068128574698669</v>
      </c>
      <c r="AD93" s="6">
        <v>14.436982384228841</v>
      </c>
      <c r="AE93" t="s">
        <v>196</v>
      </c>
    </row>
    <row r="94" spans="1:31" x14ac:dyDescent="0.3">
      <c r="A94">
        <v>92</v>
      </c>
      <c r="B94" t="s">
        <v>197</v>
      </c>
      <c r="C94" t="s">
        <v>198</v>
      </c>
      <c r="D94" s="7">
        <v>1</v>
      </c>
      <c r="E94" s="7" t="s">
        <v>21</v>
      </c>
      <c r="F94" s="7">
        <v>9</v>
      </c>
      <c r="G94" s="7" t="s">
        <v>22</v>
      </c>
      <c r="H94" s="7"/>
      <c r="I94" s="15"/>
      <c r="J94">
        <v>1.6080000000000001</v>
      </c>
      <c r="K94">
        <v>0.626</v>
      </c>
      <c r="L94" s="9">
        <v>3.54</v>
      </c>
      <c r="M94" s="10">
        <v>3.77</v>
      </c>
      <c r="N94" s="10">
        <v>4.46</v>
      </c>
      <c r="O94" s="10">
        <v>5.0199999999999996</v>
      </c>
      <c r="P94">
        <f t="shared" si="1"/>
        <v>4.1974999999999998</v>
      </c>
      <c r="Q94">
        <v>0.14163092873590596</v>
      </c>
      <c r="R94">
        <v>0.20873581785735726</v>
      </c>
      <c r="S94">
        <v>0.88657819697321083</v>
      </c>
      <c r="T94">
        <v>0.94434807962674017</v>
      </c>
      <c r="U94">
        <v>0.6804030221223234</v>
      </c>
      <c r="V94">
        <v>2.4867898500828399E-2</v>
      </c>
      <c r="W94">
        <v>413</v>
      </c>
      <c r="X94">
        <v>646</v>
      </c>
      <c r="Y94">
        <v>0.71556882463859206</v>
      </c>
      <c r="Z94">
        <v>0.14534858870606376</v>
      </c>
      <c r="AB94">
        <v>33.850975021390866</v>
      </c>
      <c r="AC94">
        <v>30.298497684441152</v>
      </c>
      <c r="AD94">
        <v>44.53022208798194</v>
      </c>
    </row>
    <row r="95" spans="1:31" x14ac:dyDescent="0.3">
      <c r="A95">
        <v>93</v>
      </c>
      <c r="B95" t="s">
        <v>197</v>
      </c>
      <c r="C95" t="s">
        <v>198</v>
      </c>
      <c r="D95" s="7">
        <v>1</v>
      </c>
      <c r="E95" s="7" t="s">
        <v>21</v>
      </c>
      <c r="F95" s="7">
        <v>10</v>
      </c>
      <c r="G95" s="7" t="s">
        <v>25</v>
      </c>
      <c r="H95" s="7"/>
      <c r="I95" s="15"/>
      <c r="J95">
        <v>2.4279999999999999</v>
      </c>
      <c r="K95">
        <v>0.317</v>
      </c>
      <c r="L95" s="9">
        <v>1.01</v>
      </c>
      <c r="M95" s="10">
        <v>0.93</v>
      </c>
      <c r="N95" s="10">
        <v>1.03</v>
      </c>
      <c r="O95" s="10">
        <v>1.0900000000000001</v>
      </c>
      <c r="P95">
        <f t="shared" si="1"/>
        <v>1.0149999999999999</v>
      </c>
      <c r="Q95">
        <v>0.38377760210701267</v>
      </c>
      <c r="R95">
        <v>0.53718994533432007</v>
      </c>
      <c r="S95">
        <v>0.87740733833939921</v>
      </c>
      <c r="T95">
        <v>1.0143986570639896</v>
      </c>
      <c r="U95">
        <v>0.26987212468293481</v>
      </c>
      <c r="V95">
        <v>-6.2086655868639554E-3</v>
      </c>
      <c r="W95">
        <v>485</v>
      </c>
      <c r="X95">
        <v>709</v>
      </c>
      <c r="Y95">
        <v>0.76609596885020603</v>
      </c>
      <c r="Z95">
        <v>0.11571682288512213</v>
      </c>
      <c r="AB95">
        <v>26.089546839046534</v>
      </c>
      <c r="AC95">
        <v>23.351618003071763</v>
      </c>
      <c r="AD95">
        <v>86.528455024789707</v>
      </c>
    </row>
    <row r="96" spans="1:31" x14ac:dyDescent="0.3">
      <c r="A96">
        <v>94</v>
      </c>
      <c r="B96" t="s">
        <v>197</v>
      </c>
      <c r="C96" t="s">
        <v>198</v>
      </c>
      <c r="D96" s="7">
        <v>1</v>
      </c>
      <c r="E96" s="7" t="s">
        <v>21</v>
      </c>
      <c r="F96" s="7">
        <v>16</v>
      </c>
      <c r="G96" s="7" t="s">
        <v>192</v>
      </c>
      <c r="H96" s="7"/>
      <c r="I96" s="15"/>
      <c r="J96">
        <v>2</v>
      </c>
      <c r="K96">
        <v>0.45700000000000002</v>
      </c>
      <c r="L96" s="7">
        <v>1.31</v>
      </c>
      <c r="M96" s="10">
        <v>1.55</v>
      </c>
      <c r="N96" s="10">
        <v>1.46</v>
      </c>
      <c r="O96" s="10">
        <v>1.53</v>
      </c>
      <c r="P96">
        <f t="shared" si="1"/>
        <v>1.4625000000000001</v>
      </c>
      <c r="Q96">
        <v>0.13822698937143124</v>
      </c>
      <c r="R96">
        <v>0.76822215379447412</v>
      </c>
      <c r="S96">
        <v>0.90615800555865589</v>
      </c>
      <c r="T96">
        <v>0.97084991004943766</v>
      </c>
      <c r="U96">
        <v>0.11451317291678886</v>
      </c>
      <c r="V96">
        <v>1.284790528829516E-2</v>
      </c>
      <c r="W96">
        <v>449</v>
      </c>
      <c r="X96">
        <v>670</v>
      </c>
      <c r="Y96">
        <v>0.75032723306265914</v>
      </c>
      <c r="Z96">
        <v>0.1247492905827518</v>
      </c>
      <c r="AB96">
        <v>28.350341727051767</v>
      </c>
      <c r="AC96">
        <v>25.375150756379078</v>
      </c>
      <c r="AD96">
        <v>221.59154366299816</v>
      </c>
    </row>
    <row r="97" spans="1:30" x14ac:dyDescent="0.3">
      <c r="A97">
        <v>95</v>
      </c>
      <c r="B97" t="s">
        <v>197</v>
      </c>
      <c r="C97" t="s">
        <v>198</v>
      </c>
      <c r="D97" s="7">
        <v>2</v>
      </c>
      <c r="E97" s="7" t="s">
        <v>21</v>
      </c>
      <c r="F97" s="7">
        <v>11</v>
      </c>
      <c r="G97" s="7" t="s">
        <v>29</v>
      </c>
      <c r="H97" t="s">
        <v>327</v>
      </c>
      <c r="I97" s="13"/>
      <c r="J97">
        <v>1.02</v>
      </c>
      <c r="K97">
        <v>0.29799999999999999</v>
      </c>
      <c r="L97" s="7">
        <v>2.5</v>
      </c>
      <c r="M97" s="10">
        <v>2.2599999999999998</v>
      </c>
      <c r="N97" s="10">
        <v>2.75</v>
      </c>
      <c r="O97" s="10">
        <v>2.35</v>
      </c>
      <c r="P97">
        <f t="shared" si="1"/>
        <v>2.4649999999999999</v>
      </c>
      <c r="Q97">
        <v>5.9092046131722115E-2</v>
      </c>
      <c r="R97">
        <v>0.52345879959308239</v>
      </c>
      <c r="S97">
        <v>0.86079207355854948</v>
      </c>
      <c r="T97">
        <v>1.0181571132325808</v>
      </c>
      <c r="U97">
        <v>0.28111749509979722</v>
      </c>
      <c r="V97">
        <v>-7.8147997542537834E-3</v>
      </c>
      <c r="W97">
        <v>488</v>
      </c>
      <c r="X97">
        <v>726</v>
      </c>
      <c r="Y97">
        <v>0.75277912395153779</v>
      </c>
      <c r="Z97">
        <v>0.12333243325556549</v>
      </c>
      <c r="AB97">
        <v>27.989613862374238</v>
      </c>
      <c r="AC97">
        <v>25.052280224939942</v>
      </c>
      <c r="AD97">
        <v>89.116759581421064</v>
      </c>
    </row>
    <row r="98" spans="1:30" x14ac:dyDescent="0.3">
      <c r="A98">
        <v>96</v>
      </c>
      <c r="B98" t="s">
        <v>197</v>
      </c>
      <c r="C98" t="s">
        <v>198</v>
      </c>
      <c r="D98" s="7">
        <v>2</v>
      </c>
      <c r="E98" s="7" t="s">
        <v>21</v>
      </c>
      <c r="F98" s="7">
        <v>12</v>
      </c>
      <c r="G98" s="7" t="s">
        <v>25</v>
      </c>
      <c r="H98" s="7"/>
      <c r="I98" s="15"/>
      <c r="J98">
        <v>0.81299999999999994</v>
      </c>
      <c r="K98">
        <v>0.115</v>
      </c>
      <c r="L98" s="7">
        <v>1.05</v>
      </c>
      <c r="M98" s="10">
        <v>1.23</v>
      </c>
      <c r="N98" s="10">
        <v>1.08</v>
      </c>
      <c r="O98" s="10">
        <v>1.1200000000000001</v>
      </c>
      <c r="P98">
        <f t="shared" si="1"/>
        <v>1.1200000000000001</v>
      </c>
      <c r="Q98">
        <v>0.32446157725312125</v>
      </c>
      <c r="R98">
        <v>0.49372195622929715</v>
      </c>
      <c r="S98">
        <v>0.89432901964186784</v>
      </c>
      <c r="T98">
        <v>0.9912617193777542</v>
      </c>
      <c r="U98">
        <v>0.30651755891131982</v>
      </c>
      <c r="V98">
        <v>3.8116651159507461E-3</v>
      </c>
      <c r="W98">
        <v>484</v>
      </c>
      <c r="X98">
        <v>691</v>
      </c>
      <c r="Y98">
        <v>0.78445358401880139</v>
      </c>
      <c r="Z98">
        <v>0.10543274844527095</v>
      </c>
      <c r="AB98">
        <v>23.627662365945</v>
      </c>
      <c r="AC98">
        <v>21.148094375116013</v>
      </c>
      <c r="AD98">
        <v>68.994723989807312</v>
      </c>
    </row>
    <row r="99" spans="1:30" x14ac:dyDescent="0.3">
      <c r="A99">
        <v>97</v>
      </c>
      <c r="B99" t="s">
        <v>197</v>
      </c>
      <c r="C99" t="s">
        <v>198</v>
      </c>
      <c r="D99" s="7">
        <v>2</v>
      </c>
      <c r="E99" s="7" t="s">
        <v>21</v>
      </c>
      <c r="F99" s="7">
        <v>14</v>
      </c>
      <c r="G99" s="7" t="s">
        <v>22</v>
      </c>
      <c r="H99" t="s">
        <v>328</v>
      </c>
      <c r="I99" s="13"/>
      <c r="J99">
        <v>0.80200000000000005</v>
      </c>
      <c r="K99">
        <v>0.17100000000000001</v>
      </c>
      <c r="L99" s="7">
        <v>1.52</v>
      </c>
      <c r="M99" s="10">
        <v>2.76</v>
      </c>
      <c r="N99" s="10">
        <v>2.38</v>
      </c>
      <c r="O99" s="10">
        <v>2.81</v>
      </c>
      <c r="P99">
        <f t="shared" si="1"/>
        <v>2.3674999999999997</v>
      </c>
      <c r="Q99">
        <v>3.565699986801172E-2</v>
      </c>
      <c r="R99">
        <v>0.10734874875069136</v>
      </c>
      <c r="S99">
        <v>0.84818597967410447</v>
      </c>
      <c r="T99">
        <v>0.9549327262917785</v>
      </c>
      <c r="U99">
        <v>0.96920301330353309</v>
      </c>
      <c r="V99">
        <v>2.0027222792555668E-2</v>
      </c>
      <c r="W99">
        <v>393</v>
      </c>
      <c r="X99">
        <v>600</v>
      </c>
      <c r="Y99">
        <v>0.73302576366015426</v>
      </c>
      <c r="Z99">
        <v>0.13488076094030979</v>
      </c>
      <c r="AB99">
        <v>30.99585850605634</v>
      </c>
      <c r="AC99">
        <v>27.743025455432932</v>
      </c>
      <c r="AD99">
        <v>28.624576146199441</v>
      </c>
    </row>
    <row r="100" spans="1:30" x14ac:dyDescent="0.3">
      <c r="A100">
        <v>98</v>
      </c>
      <c r="B100" t="s">
        <v>197</v>
      </c>
      <c r="C100" t="s">
        <v>198</v>
      </c>
      <c r="D100" s="7">
        <v>2</v>
      </c>
      <c r="E100" s="7" t="s">
        <v>21</v>
      </c>
      <c r="F100" s="7">
        <v>13</v>
      </c>
      <c r="G100" s="7" t="s">
        <v>23</v>
      </c>
      <c r="H100" t="s">
        <v>329</v>
      </c>
      <c r="I100" s="13"/>
      <c r="J100">
        <v>3.5830000000000002</v>
      </c>
      <c r="K100">
        <v>0.44600000000000001</v>
      </c>
      <c r="L100" s="7">
        <v>4.21</v>
      </c>
      <c r="M100" s="10">
        <v>4.97</v>
      </c>
      <c r="N100" s="10">
        <v>5.41</v>
      </c>
      <c r="O100" s="10">
        <v>5.13</v>
      </c>
      <c r="P100">
        <f t="shared" si="1"/>
        <v>4.93</v>
      </c>
      <c r="Q100">
        <v>6.7794407938706766E-2</v>
      </c>
      <c r="R100">
        <v>0.40043579766536963</v>
      </c>
      <c r="S100">
        <v>0.87056886340461292</v>
      </c>
      <c r="T100">
        <v>0.97965980034026734</v>
      </c>
      <c r="U100">
        <v>0.39746710493497495</v>
      </c>
      <c r="V100">
        <v>8.9247125580227335E-3</v>
      </c>
      <c r="W100">
        <v>411</v>
      </c>
      <c r="X100">
        <v>654</v>
      </c>
      <c r="Y100">
        <v>0.70336285749762018</v>
      </c>
      <c r="Z100">
        <v>0.1528205692145973</v>
      </c>
      <c r="AB100">
        <v>35.964667872766213</v>
      </c>
      <c r="AC100">
        <v>32.190355576355387</v>
      </c>
      <c r="AD100">
        <v>80.988728819764049</v>
      </c>
    </row>
    <row r="101" spans="1:30" x14ac:dyDescent="0.3">
      <c r="A101">
        <v>99</v>
      </c>
      <c r="B101" t="s">
        <v>197</v>
      </c>
      <c r="C101" t="s">
        <v>198</v>
      </c>
      <c r="D101" s="7">
        <v>3</v>
      </c>
      <c r="E101" s="7" t="s">
        <v>21</v>
      </c>
      <c r="F101" s="7">
        <v>1</v>
      </c>
      <c r="G101" s="7" t="s">
        <v>192</v>
      </c>
      <c r="H101" s="7"/>
      <c r="I101" s="15"/>
      <c r="J101">
        <v>1.7669999999999999</v>
      </c>
      <c r="K101">
        <v>0.14399999999999999</v>
      </c>
      <c r="L101" s="7">
        <v>1.61</v>
      </c>
      <c r="M101" s="10">
        <v>2</v>
      </c>
      <c r="N101" s="10">
        <v>1.57</v>
      </c>
      <c r="O101" s="10">
        <v>1.45</v>
      </c>
      <c r="P101">
        <f t="shared" si="1"/>
        <v>1.6575000000000002</v>
      </c>
      <c r="Q101">
        <v>0.27010427800298853</v>
      </c>
      <c r="R101">
        <v>0.83611594456345917</v>
      </c>
      <c r="S101">
        <v>0.86125859669160831</v>
      </c>
      <c r="T101">
        <v>0.98774238681498472</v>
      </c>
      <c r="U101">
        <v>7.7733494579351803E-2</v>
      </c>
      <c r="V101">
        <v>5.3563090289348017E-3</v>
      </c>
      <c r="W101">
        <v>360</v>
      </c>
      <c r="X101">
        <v>587</v>
      </c>
      <c r="Y101">
        <v>0.68604833502444418</v>
      </c>
      <c r="Z101">
        <v>0.16364528532108152</v>
      </c>
      <c r="AB101">
        <v>39.138637584997113</v>
      </c>
      <c r="AC101">
        <v>35.031208494234768</v>
      </c>
      <c r="AD101">
        <v>450.65783654527786</v>
      </c>
    </row>
    <row r="102" spans="1:30" x14ac:dyDescent="0.3">
      <c r="A102">
        <v>100</v>
      </c>
      <c r="B102" t="s">
        <v>197</v>
      </c>
      <c r="C102" t="s">
        <v>198</v>
      </c>
      <c r="D102" s="7">
        <v>3</v>
      </c>
      <c r="E102" s="7" t="s">
        <v>21</v>
      </c>
      <c r="F102" s="7">
        <v>3</v>
      </c>
      <c r="G102" s="7" t="s">
        <v>28</v>
      </c>
      <c r="H102" t="s">
        <v>304</v>
      </c>
      <c r="I102" s="13"/>
      <c r="J102">
        <v>1.35</v>
      </c>
      <c r="K102">
        <v>0.39</v>
      </c>
      <c r="L102" s="7">
        <v>5.03</v>
      </c>
      <c r="M102" s="10">
        <v>6.33</v>
      </c>
      <c r="N102" s="10">
        <v>4.24</v>
      </c>
      <c r="O102" s="10">
        <v>4.37</v>
      </c>
      <c r="P102">
        <f t="shared" si="1"/>
        <v>4.9924999999999997</v>
      </c>
      <c r="Q102">
        <v>8.3656996179871948E-2</v>
      </c>
      <c r="R102">
        <v>0.63725740928024133</v>
      </c>
      <c r="S102">
        <v>0.87890276106973741</v>
      </c>
      <c r="T102">
        <v>0.9842529189762238</v>
      </c>
      <c r="U102">
        <v>0.19568510636349337</v>
      </c>
      <c r="V102">
        <v>6.8932885586756847E-3</v>
      </c>
      <c r="W102">
        <v>384</v>
      </c>
      <c r="X102">
        <v>615</v>
      </c>
      <c r="Y102">
        <v>0.69865745224051412</v>
      </c>
      <c r="Z102">
        <v>0.15573570417632415</v>
      </c>
      <c r="AB102">
        <v>36.80640829775048</v>
      </c>
      <c r="AC102">
        <v>32.943753529546981</v>
      </c>
      <c r="AD102">
        <v>168.35084765394748</v>
      </c>
    </row>
    <row r="103" spans="1:30" x14ac:dyDescent="0.3">
      <c r="A103">
        <v>101</v>
      </c>
      <c r="B103" t="s">
        <v>197</v>
      </c>
      <c r="C103" t="s">
        <v>198</v>
      </c>
      <c r="D103" s="7">
        <v>3</v>
      </c>
      <c r="E103" s="7" t="s">
        <v>21</v>
      </c>
      <c r="F103" s="7">
        <v>10</v>
      </c>
      <c r="G103" s="7" t="s">
        <v>22</v>
      </c>
      <c r="H103" t="s">
        <v>330</v>
      </c>
      <c r="I103" s="13"/>
      <c r="J103">
        <v>1.2250000000000001</v>
      </c>
      <c r="K103">
        <v>0.20499999999999999</v>
      </c>
      <c r="L103" s="7">
        <v>4.87</v>
      </c>
      <c r="M103" s="10">
        <v>5.03</v>
      </c>
      <c r="N103" s="10">
        <v>5.0599999999999996</v>
      </c>
      <c r="O103" s="10">
        <v>4.72</v>
      </c>
      <c r="P103">
        <f t="shared" si="1"/>
        <v>4.92</v>
      </c>
      <c r="Q103">
        <v>3.6596116690823459E-2</v>
      </c>
      <c r="R103">
        <v>0.14723200838863218</v>
      </c>
      <c r="S103">
        <v>0.8109376151319192</v>
      </c>
      <c r="T103">
        <v>1.03099996387197</v>
      </c>
      <c r="U103">
        <v>0.831997763671108</v>
      </c>
      <c r="V103">
        <v>-1.3258650065083616E-2</v>
      </c>
      <c r="W103">
        <v>346</v>
      </c>
      <c r="X103">
        <v>623</v>
      </c>
      <c r="Y103">
        <v>0.62106543842878248</v>
      </c>
      <c r="Z103">
        <v>0.20686263806615379</v>
      </c>
      <c r="AB103">
        <v>53.129550619424947</v>
      </c>
      <c r="AC103">
        <v>47.553687755307962</v>
      </c>
      <c r="AD103">
        <v>57.156028335319085</v>
      </c>
    </row>
    <row r="104" spans="1:30" x14ac:dyDescent="0.3">
      <c r="A104">
        <v>102</v>
      </c>
      <c r="B104" t="s">
        <v>197</v>
      </c>
      <c r="C104" t="s">
        <v>198</v>
      </c>
      <c r="D104" s="7">
        <v>3</v>
      </c>
      <c r="E104" s="7" t="s">
        <v>21</v>
      </c>
      <c r="F104" s="7">
        <v>11</v>
      </c>
      <c r="G104" s="7" t="s">
        <v>24</v>
      </c>
      <c r="H104" s="7"/>
      <c r="I104" s="15"/>
      <c r="J104">
        <v>0.71399999999999997</v>
      </c>
      <c r="K104">
        <v>0.22700000000000001</v>
      </c>
      <c r="L104" s="7">
        <v>3.72</v>
      </c>
      <c r="M104" s="10">
        <v>3.7</v>
      </c>
      <c r="N104" s="10">
        <v>5.14</v>
      </c>
      <c r="O104" s="10">
        <v>2.82</v>
      </c>
      <c r="P104">
        <f t="shared" si="1"/>
        <v>3.8449999999999998</v>
      </c>
      <c r="Q104">
        <v>0.14110319355663847</v>
      </c>
      <c r="R104">
        <v>0.32376959994301435</v>
      </c>
      <c r="S104">
        <v>0.83716055607271478</v>
      </c>
      <c r="T104">
        <v>0.96681757804747726</v>
      </c>
      <c r="U104">
        <v>0.48976393136028895</v>
      </c>
      <c r="V104">
        <v>1.4655462133209196E-2</v>
      </c>
      <c r="W104">
        <v>381</v>
      </c>
      <c r="X104">
        <v>632</v>
      </c>
      <c r="Y104">
        <v>0.67449565254636568</v>
      </c>
      <c r="Z104">
        <v>0.17102084522292718</v>
      </c>
      <c r="AB104">
        <v>41.377069218466538</v>
      </c>
      <c r="AC104">
        <v>37.034707782218113</v>
      </c>
      <c r="AD104">
        <v>75.617466723930661</v>
      </c>
    </row>
    <row r="105" spans="1:30" x14ac:dyDescent="0.3">
      <c r="A105">
        <v>103</v>
      </c>
      <c r="B105" t="s">
        <v>197</v>
      </c>
      <c r="C105" t="s">
        <v>198</v>
      </c>
      <c r="D105" s="7">
        <v>3</v>
      </c>
      <c r="E105" s="7" t="s">
        <v>21</v>
      </c>
      <c r="F105" s="7">
        <v>15</v>
      </c>
      <c r="G105" s="7" t="s">
        <v>29</v>
      </c>
      <c r="H105" t="s">
        <v>331</v>
      </c>
      <c r="I105" s="13"/>
      <c r="J105">
        <v>0.59799999999999998</v>
      </c>
      <c r="K105">
        <v>0.18</v>
      </c>
      <c r="L105" s="7">
        <v>3.21</v>
      </c>
      <c r="M105" s="10">
        <v>2.1</v>
      </c>
      <c r="N105" s="10">
        <v>1.99</v>
      </c>
      <c r="O105" s="10">
        <v>2.2200000000000002</v>
      </c>
      <c r="P105">
        <f t="shared" si="1"/>
        <v>2.3800000000000003</v>
      </c>
      <c r="Q105">
        <v>0.1909323027856579</v>
      </c>
      <c r="R105">
        <v>0.61086286875205986</v>
      </c>
      <c r="S105">
        <v>0.88095638553675615</v>
      </c>
      <c r="T105">
        <v>0.98976248674074219</v>
      </c>
      <c r="U105">
        <v>0.21405627261914825</v>
      </c>
      <c r="V105">
        <v>4.4690105271155611E-3</v>
      </c>
      <c r="W105">
        <v>394</v>
      </c>
      <c r="X105">
        <v>640</v>
      </c>
      <c r="Y105">
        <v>0.68889734805227754</v>
      </c>
      <c r="Z105">
        <v>0.16184548708480817</v>
      </c>
      <c r="AB105">
        <v>38.601736884727742</v>
      </c>
      <c r="AC105">
        <v>34.550657331875591</v>
      </c>
      <c r="AD105">
        <v>161.40922622411807</v>
      </c>
    </row>
    <row r="106" spans="1:30" x14ac:dyDescent="0.3">
      <c r="A106">
        <v>104</v>
      </c>
      <c r="B106" t="s">
        <v>197</v>
      </c>
      <c r="C106" t="s">
        <v>198</v>
      </c>
      <c r="D106" s="7">
        <v>4</v>
      </c>
      <c r="E106" s="7" t="s">
        <v>21</v>
      </c>
      <c r="F106" s="7">
        <v>1</v>
      </c>
      <c r="G106" s="7" t="s">
        <v>24</v>
      </c>
      <c r="H106" s="7"/>
      <c r="I106" s="15"/>
      <c r="J106">
        <v>1.129</v>
      </c>
      <c r="K106">
        <v>0.36699999999999999</v>
      </c>
      <c r="L106" s="7">
        <v>4.1500000000000004</v>
      </c>
      <c r="M106" s="10">
        <v>3.69</v>
      </c>
      <c r="N106" s="10">
        <v>3.45</v>
      </c>
      <c r="O106" s="10">
        <v>2.98</v>
      </c>
      <c r="P106">
        <f t="shared" si="1"/>
        <v>3.5674999999999999</v>
      </c>
      <c r="Q106">
        <v>8.1764694204426683E-2</v>
      </c>
      <c r="R106">
        <v>0.31047534999398291</v>
      </c>
      <c r="S106">
        <v>0.85736204247910286</v>
      </c>
      <c r="T106">
        <v>0.99948023702240929</v>
      </c>
      <c r="U106">
        <v>0.50797287467114904</v>
      </c>
      <c r="V106">
        <v>2.2578887649908475E-4</v>
      </c>
      <c r="W106">
        <v>387</v>
      </c>
      <c r="X106">
        <v>672</v>
      </c>
      <c r="Y106">
        <v>0.6443287549844926</v>
      </c>
      <c r="Z106">
        <v>0.19089248660735667</v>
      </c>
      <c r="AB106">
        <v>47.713741234508461</v>
      </c>
      <c r="AC106">
        <v>42.706309722618293</v>
      </c>
      <c r="AD106">
        <v>84.072027960676962</v>
      </c>
    </row>
    <row r="107" spans="1:30" x14ac:dyDescent="0.3">
      <c r="A107">
        <v>105</v>
      </c>
      <c r="B107" t="s">
        <v>197</v>
      </c>
      <c r="C107" t="s">
        <v>198</v>
      </c>
      <c r="D107" s="7">
        <v>4</v>
      </c>
      <c r="E107" s="7" t="s">
        <v>21</v>
      </c>
      <c r="F107" s="7">
        <v>4</v>
      </c>
      <c r="G107" s="7" t="s">
        <v>27</v>
      </c>
      <c r="H107" t="s">
        <v>332</v>
      </c>
      <c r="I107" s="13"/>
      <c r="J107">
        <v>0.88</v>
      </c>
      <c r="K107">
        <v>0.13500000000000001</v>
      </c>
      <c r="L107" s="7">
        <v>1.7</v>
      </c>
      <c r="M107" s="10">
        <v>1.73</v>
      </c>
      <c r="N107" s="10">
        <v>2</v>
      </c>
      <c r="O107" s="10">
        <v>1.96</v>
      </c>
      <c r="P107">
        <f t="shared" si="1"/>
        <v>1.8474999999999999</v>
      </c>
      <c r="Q107">
        <v>0.12238938945251132</v>
      </c>
      <c r="R107">
        <v>0.50034775977471413</v>
      </c>
      <c r="S107">
        <v>0.87951759411606434</v>
      </c>
      <c r="T107">
        <v>0.93869881796476506</v>
      </c>
      <c r="U107">
        <v>0.30072804035734979</v>
      </c>
      <c r="V107">
        <v>2.7473729009294082E-2</v>
      </c>
      <c r="W107">
        <v>492</v>
      </c>
      <c r="X107">
        <v>712</v>
      </c>
      <c r="Y107">
        <v>0.77391948910936248</v>
      </c>
      <c r="Z107">
        <v>0.11130421664811786</v>
      </c>
      <c r="AB107">
        <v>25.018590624847672</v>
      </c>
      <c r="AC107">
        <v>22.393053252426309</v>
      </c>
      <c r="AD107">
        <v>74.462804418959536</v>
      </c>
    </row>
    <row r="108" spans="1:30" x14ac:dyDescent="0.3">
      <c r="A108">
        <v>106</v>
      </c>
      <c r="B108" t="s">
        <v>197</v>
      </c>
      <c r="C108" t="s">
        <v>198</v>
      </c>
      <c r="D108" s="7">
        <v>4</v>
      </c>
      <c r="E108" s="7" t="s">
        <v>21</v>
      </c>
      <c r="F108" s="7">
        <v>5</v>
      </c>
      <c r="G108" s="7" t="s">
        <v>28</v>
      </c>
      <c r="H108" t="s">
        <v>333</v>
      </c>
      <c r="I108" s="13"/>
      <c r="J108">
        <v>2.1349999999999998</v>
      </c>
      <c r="K108">
        <v>0.59799999999999998</v>
      </c>
      <c r="L108" s="7">
        <v>4.2699999999999996</v>
      </c>
      <c r="M108" s="10">
        <v>4.59</v>
      </c>
      <c r="N108" s="10">
        <v>3.97</v>
      </c>
      <c r="O108" s="10">
        <v>4.74</v>
      </c>
      <c r="P108">
        <f t="shared" si="1"/>
        <v>4.3925000000000001</v>
      </c>
      <c r="Q108">
        <v>6.749936457727139E-2</v>
      </c>
      <c r="R108">
        <v>0.67875287689378261</v>
      </c>
      <c r="S108">
        <v>0.88428340167362363</v>
      </c>
      <c r="T108">
        <v>0.98960528281180671</v>
      </c>
      <c r="U108">
        <v>0.16828831664221708</v>
      </c>
      <c r="V108">
        <v>4.5379949776698019E-3</v>
      </c>
      <c r="W108">
        <v>421</v>
      </c>
      <c r="X108">
        <v>638</v>
      </c>
      <c r="Y108">
        <v>0.73865883151597433</v>
      </c>
      <c r="Z108">
        <v>0.13155610531592035</v>
      </c>
      <c r="AB108">
        <v>30.114948826116766</v>
      </c>
      <c r="AC108">
        <v>26.954566148322755</v>
      </c>
      <c r="AD108">
        <v>160.16896886328999</v>
      </c>
    </row>
    <row r="109" spans="1:30" x14ac:dyDescent="0.3">
      <c r="A109">
        <v>107</v>
      </c>
      <c r="B109" t="s">
        <v>197</v>
      </c>
      <c r="C109" t="s">
        <v>198</v>
      </c>
      <c r="D109" s="7">
        <v>4</v>
      </c>
      <c r="E109" s="7" t="s">
        <v>21</v>
      </c>
      <c r="F109" s="7">
        <v>9</v>
      </c>
      <c r="G109" s="7" t="s">
        <v>22</v>
      </c>
      <c r="H109" t="s">
        <v>334</v>
      </c>
      <c r="I109" s="13"/>
      <c r="J109">
        <v>1.327</v>
      </c>
      <c r="K109">
        <v>0.503</v>
      </c>
      <c r="L109" s="7">
        <v>4.2699999999999996</v>
      </c>
      <c r="M109" s="10">
        <v>4.0999999999999996</v>
      </c>
      <c r="N109" s="10">
        <v>4.49</v>
      </c>
      <c r="O109" s="10">
        <v>5.21</v>
      </c>
      <c r="P109">
        <f t="shared" si="1"/>
        <v>4.5175000000000001</v>
      </c>
      <c r="Q109">
        <v>6.953171825346259E-2</v>
      </c>
      <c r="R109">
        <v>0.26219010561423012</v>
      </c>
      <c r="S109">
        <v>0.79359113174149731</v>
      </c>
      <c r="T109">
        <v>1.0203421014513363</v>
      </c>
      <c r="U109">
        <v>0.58138370150261276</v>
      </c>
      <c r="V109">
        <v>-8.7458069216812297E-3</v>
      </c>
      <c r="W109">
        <v>395</v>
      </c>
      <c r="X109">
        <v>659</v>
      </c>
      <c r="Y109">
        <v>0.67071182124373618</v>
      </c>
      <c r="Z109">
        <v>0.17346403918539396</v>
      </c>
      <c r="AB109">
        <v>42.132108894615186</v>
      </c>
      <c r="AC109">
        <v>37.710502538527798</v>
      </c>
      <c r="AD109">
        <v>64.863363800985965</v>
      </c>
    </row>
    <row r="110" spans="1:30" x14ac:dyDescent="0.3">
      <c r="A110">
        <v>108</v>
      </c>
      <c r="B110" t="s">
        <v>197</v>
      </c>
      <c r="C110" t="s">
        <v>198</v>
      </c>
      <c r="D110" s="7">
        <v>4</v>
      </c>
      <c r="E110" s="7" t="s">
        <v>21</v>
      </c>
      <c r="F110" s="7">
        <v>10</v>
      </c>
      <c r="G110" s="7" t="s">
        <v>29</v>
      </c>
      <c r="H110" t="s">
        <v>335</v>
      </c>
      <c r="I110" s="13"/>
      <c r="J110">
        <v>0.18</v>
      </c>
      <c r="K110">
        <v>0.22800000000000001</v>
      </c>
      <c r="L110" s="7">
        <v>2.65</v>
      </c>
      <c r="M110" s="10">
        <v>2.73</v>
      </c>
      <c r="N110" s="10">
        <v>2.5499999999999998</v>
      </c>
      <c r="O110" s="10">
        <v>2.6</v>
      </c>
      <c r="P110">
        <f t="shared" si="1"/>
        <v>2.6324999999999998</v>
      </c>
      <c r="Q110">
        <v>0.12554519988649401</v>
      </c>
      <c r="R110">
        <v>0.59579528005128435</v>
      </c>
      <c r="S110">
        <v>0.9016114187140386</v>
      </c>
      <c r="T110">
        <v>0.93456434921349307</v>
      </c>
      <c r="U110">
        <v>0.22490294163088054</v>
      </c>
      <c r="V110">
        <v>2.9390790008865006E-2</v>
      </c>
      <c r="W110">
        <v>491</v>
      </c>
      <c r="X110">
        <v>705</v>
      </c>
      <c r="Y110">
        <v>0.78001957923832921</v>
      </c>
      <c r="Z110">
        <v>0.10789449596535719</v>
      </c>
      <c r="AB110">
        <v>24.206100708516949</v>
      </c>
      <c r="AC110">
        <v>21.665829383726649</v>
      </c>
      <c r="AD110">
        <v>96.334130743765243</v>
      </c>
    </row>
    <row r="111" spans="1:30" x14ac:dyDescent="0.3">
      <c r="A111">
        <v>109</v>
      </c>
      <c r="B111" t="s">
        <v>197</v>
      </c>
      <c r="C111" t="s">
        <v>198</v>
      </c>
      <c r="D111" s="7">
        <v>4</v>
      </c>
      <c r="E111" s="7" t="s">
        <v>21</v>
      </c>
      <c r="F111" s="7">
        <v>11</v>
      </c>
      <c r="G111" s="7" t="s">
        <v>23</v>
      </c>
      <c r="H111" t="s">
        <v>336</v>
      </c>
      <c r="I111" s="13"/>
      <c r="J111">
        <v>0.32900000000000001</v>
      </c>
      <c r="K111">
        <v>5.2999999999999999E-2</v>
      </c>
      <c r="L111" s="7">
        <v>1.61</v>
      </c>
      <c r="M111" s="10">
        <v>1.71</v>
      </c>
      <c r="N111" s="10">
        <v>1.74</v>
      </c>
      <c r="O111" s="10">
        <v>1.66</v>
      </c>
      <c r="P111">
        <f t="shared" si="1"/>
        <v>1.6800000000000002</v>
      </c>
      <c r="Q111">
        <v>5.8493687510751964E-2</v>
      </c>
      <c r="R111">
        <v>0.49589322013913456</v>
      </c>
      <c r="S111">
        <v>0.89291603586161872</v>
      </c>
      <c r="T111">
        <v>0.93864131727147482</v>
      </c>
      <c r="U111">
        <v>0.30461182935012854</v>
      </c>
      <c r="V111">
        <v>2.7500332855172303E-2</v>
      </c>
      <c r="W111">
        <v>428</v>
      </c>
      <c r="X111">
        <v>641</v>
      </c>
      <c r="Y111">
        <v>0.74747888513513516</v>
      </c>
      <c r="Z111">
        <v>0.12640107082803342</v>
      </c>
      <c r="AB111">
        <v>28.773742706201482</v>
      </c>
      <c r="AC111">
        <v>25.754116919404094</v>
      </c>
      <c r="AD111">
        <v>84.547330201683209</v>
      </c>
    </row>
    <row r="112" spans="1:30" x14ac:dyDescent="0.3">
      <c r="A112">
        <v>110</v>
      </c>
      <c r="B112" t="s">
        <v>197</v>
      </c>
      <c r="C112" t="s">
        <v>198</v>
      </c>
      <c r="D112" s="7">
        <v>4</v>
      </c>
      <c r="E112" s="7" t="s">
        <v>21</v>
      </c>
      <c r="F112" s="7">
        <v>16</v>
      </c>
      <c r="G112" s="7" t="s">
        <v>25</v>
      </c>
      <c r="H112" t="s">
        <v>337</v>
      </c>
      <c r="I112" s="13"/>
      <c r="J112">
        <v>1.8180000000000001</v>
      </c>
      <c r="K112">
        <v>0.26800000000000002</v>
      </c>
      <c r="L112" s="7">
        <v>1.52</v>
      </c>
      <c r="M112" s="10">
        <v>1.69</v>
      </c>
      <c r="N112" s="10">
        <v>1.43</v>
      </c>
      <c r="O112" s="10">
        <v>1.39</v>
      </c>
      <c r="P112">
        <f t="shared" si="1"/>
        <v>1.5074999999999998</v>
      </c>
      <c r="Q112">
        <v>0.42196938751537483</v>
      </c>
      <c r="R112">
        <v>0.54152104704633885</v>
      </c>
      <c r="S112">
        <v>0.85883286527129776</v>
      </c>
      <c r="T112">
        <v>1.0160243771507269</v>
      </c>
      <c r="U112">
        <v>0.26638465918925919</v>
      </c>
      <c r="V112">
        <v>-6.9041279627041936E-3</v>
      </c>
      <c r="W112">
        <v>432</v>
      </c>
      <c r="X112">
        <v>648</v>
      </c>
      <c r="Y112">
        <v>0.7463344333514349</v>
      </c>
      <c r="Z112">
        <v>0.12706652103597907</v>
      </c>
      <c r="AB112">
        <v>28.945188417016453</v>
      </c>
      <c r="AC112">
        <v>25.907569817851311</v>
      </c>
      <c r="AD112">
        <v>97.256238015736017</v>
      </c>
    </row>
    <row r="113" spans="1:30" x14ac:dyDescent="0.3">
      <c r="A113">
        <v>111</v>
      </c>
      <c r="B113" t="s">
        <v>199</v>
      </c>
      <c r="C113" t="s">
        <v>189</v>
      </c>
      <c r="D113" s="7">
        <v>1</v>
      </c>
      <c r="E113" s="7" t="s">
        <v>21</v>
      </c>
      <c r="F113" s="7">
        <v>3</v>
      </c>
      <c r="G113" s="7" t="s">
        <v>25</v>
      </c>
      <c r="H113" t="s">
        <v>338</v>
      </c>
      <c r="I113" s="13"/>
      <c r="J113">
        <v>1.899</v>
      </c>
      <c r="K113">
        <v>0.495</v>
      </c>
      <c r="L113" s="7">
        <v>1.56</v>
      </c>
      <c r="M113" s="10">
        <v>1.53</v>
      </c>
      <c r="N113" s="10">
        <v>1.26</v>
      </c>
      <c r="O113" s="10">
        <v>1.85</v>
      </c>
      <c r="P113">
        <f t="shared" si="1"/>
        <v>1.5499999999999998</v>
      </c>
      <c r="Q113">
        <v>9.1545176274001758E-2</v>
      </c>
      <c r="R113">
        <v>0.21704766536964981</v>
      </c>
      <c r="S113">
        <v>0.87845164331896564</v>
      </c>
      <c r="T113">
        <v>0.98935248069774095</v>
      </c>
      <c r="U113">
        <v>0.6634448812029885</v>
      </c>
      <c r="V113">
        <v>4.6489529432959167E-3</v>
      </c>
      <c r="W113">
        <v>464</v>
      </c>
      <c r="X113">
        <v>676</v>
      </c>
      <c r="Y113">
        <v>0.76182443547181089</v>
      </c>
      <c r="Z113">
        <v>0.11814510148292809</v>
      </c>
      <c r="AB113">
        <v>26.688280121796886</v>
      </c>
      <c r="AC113">
        <v>23.88751681885498</v>
      </c>
      <c r="AD113">
        <v>36.005277146069837</v>
      </c>
    </row>
    <row r="114" spans="1:30" x14ac:dyDescent="0.3">
      <c r="A114">
        <v>112</v>
      </c>
      <c r="B114" t="s">
        <v>199</v>
      </c>
      <c r="C114" t="s">
        <v>189</v>
      </c>
      <c r="D114" s="7">
        <v>1</v>
      </c>
      <c r="E114" s="7" t="s">
        <v>21</v>
      </c>
      <c r="F114" s="7">
        <v>5</v>
      </c>
      <c r="G114" s="7" t="s">
        <v>22</v>
      </c>
      <c r="H114" t="s">
        <v>339</v>
      </c>
      <c r="I114" s="13"/>
      <c r="J114">
        <v>0.68400000000000005</v>
      </c>
      <c r="K114">
        <v>0.27500000000000002</v>
      </c>
      <c r="L114" s="7">
        <v>5.79</v>
      </c>
      <c r="M114" s="10">
        <v>5.03</v>
      </c>
      <c r="N114" s="10">
        <v>5.0999999999999996</v>
      </c>
      <c r="O114" s="10">
        <v>4.43</v>
      </c>
      <c r="P114">
        <f t="shared" si="1"/>
        <v>5.0875000000000004</v>
      </c>
      <c r="Q114">
        <v>3.8044748581403331E-2</v>
      </c>
      <c r="R114">
        <v>9.9169040393697366E-2</v>
      </c>
      <c r="S114">
        <v>0.75500307881773399</v>
      </c>
      <c r="T114">
        <v>0.88159465482885546</v>
      </c>
      <c r="U114">
        <v>1.0036238891840383</v>
      </c>
      <c r="V114">
        <v>5.4731051642664785E-2</v>
      </c>
      <c r="W114">
        <v>461</v>
      </c>
      <c r="X114">
        <v>609</v>
      </c>
      <c r="Y114">
        <v>0.84028343486576462</v>
      </c>
      <c r="Z114">
        <v>7.5574197943502355E-2</v>
      </c>
      <c r="AB114">
        <v>17.156756032077269</v>
      </c>
      <c r="AC114">
        <v>15.356242107177888</v>
      </c>
      <c r="AD114">
        <v>15.300793726285999</v>
      </c>
    </row>
    <row r="115" spans="1:30" x14ac:dyDescent="0.3">
      <c r="A115">
        <v>113</v>
      </c>
      <c r="B115" t="s">
        <v>199</v>
      </c>
      <c r="C115" t="s">
        <v>189</v>
      </c>
      <c r="D115" s="7">
        <v>1</v>
      </c>
      <c r="E115" s="7" t="s">
        <v>21</v>
      </c>
      <c r="F115" s="7">
        <v>7</v>
      </c>
      <c r="G115" s="7" t="s">
        <v>28</v>
      </c>
      <c r="H115" t="s">
        <v>340</v>
      </c>
      <c r="I115" s="13"/>
      <c r="J115">
        <v>0.59199999999999997</v>
      </c>
      <c r="K115">
        <v>0.189</v>
      </c>
      <c r="L115" s="7">
        <v>3.46</v>
      </c>
      <c r="M115" s="10">
        <v>3.01</v>
      </c>
      <c r="N115" s="10">
        <v>2.72</v>
      </c>
      <c r="O115" s="10">
        <v>2.59</v>
      </c>
      <c r="P115">
        <f t="shared" si="1"/>
        <v>2.9449999999999998</v>
      </c>
      <c r="Q115">
        <v>4.600940123157516E-2</v>
      </c>
      <c r="R115">
        <v>5.4711513268577851E-2</v>
      </c>
      <c r="S115">
        <v>0.8092738120269134</v>
      </c>
      <c r="T115">
        <v>0.80404283811211008</v>
      </c>
      <c r="U115">
        <v>1.2619212728828471</v>
      </c>
      <c r="V115">
        <v>9.472081212208272E-2</v>
      </c>
      <c r="W115">
        <v>528</v>
      </c>
      <c r="X115">
        <v>569</v>
      </c>
      <c r="Y115">
        <v>1.0307518055845164</v>
      </c>
      <c r="Z115">
        <v>-1.3154104234691519E-2</v>
      </c>
      <c r="AB115">
        <v>3.8696627123269511</v>
      </c>
      <c r="AC115">
        <v>3.4631905096246296</v>
      </c>
      <c r="AD115">
        <v>2.7443792129068432</v>
      </c>
    </row>
    <row r="116" spans="1:30" x14ac:dyDescent="0.3">
      <c r="A116">
        <v>114</v>
      </c>
      <c r="B116" t="s">
        <v>199</v>
      </c>
      <c r="C116" t="s">
        <v>189</v>
      </c>
      <c r="D116" s="7">
        <v>1</v>
      </c>
      <c r="E116" s="7" t="s">
        <v>21</v>
      </c>
      <c r="F116" s="7">
        <v>9</v>
      </c>
      <c r="G116" s="7" t="s">
        <v>27</v>
      </c>
      <c r="H116" t="s">
        <v>341</v>
      </c>
      <c r="I116" s="13"/>
      <c r="J116">
        <v>1.2290000000000001</v>
      </c>
      <c r="K116">
        <v>0.29199999999999998</v>
      </c>
      <c r="L116" s="7">
        <v>1.62</v>
      </c>
      <c r="M116" s="10">
        <v>1.65</v>
      </c>
      <c r="N116" s="10">
        <v>1.55</v>
      </c>
      <c r="O116" s="10">
        <v>1.87</v>
      </c>
      <c r="P116">
        <f t="shared" si="1"/>
        <v>1.6725000000000001</v>
      </c>
      <c r="Q116">
        <v>2.8812869868450743E-2</v>
      </c>
      <c r="R116">
        <v>6.4717998178595956E-2</v>
      </c>
      <c r="S116">
        <v>0.68674885412780473</v>
      </c>
      <c r="T116">
        <v>0.89599873417665576</v>
      </c>
      <c r="U116">
        <v>1.1889749245452741</v>
      </c>
      <c r="V116">
        <v>4.769260388751962E-2</v>
      </c>
      <c r="W116">
        <v>485</v>
      </c>
      <c r="X116">
        <v>631</v>
      </c>
      <c r="Y116">
        <v>0.85334230596680127</v>
      </c>
      <c r="Z116">
        <v>6.8876722910098165E-2</v>
      </c>
      <c r="AB116">
        <v>15.843550053616953</v>
      </c>
      <c r="AC116">
        <v>14.180836405965575</v>
      </c>
      <c r="AD116">
        <v>11.926943212355017</v>
      </c>
    </row>
    <row r="117" spans="1:30" x14ac:dyDescent="0.3">
      <c r="A117">
        <v>115</v>
      </c>
      <c r="B117" t="s">
        <v>199</v>
      </c>
      <c r="C117" t="s">
        <v>189</v>
      </c>
      <c r="D117" s="7">
        <v>1</v>
      </c>
      <c r="E117" s="7" t="s">
        <v>21</v>
      </c>
      <c r="F117" s="7">
        <v>13</v>
      </c>
      <c r="G117" s="7" t="s">
        <v>192</v>
      </c>
      <c r="H117" t="s">
        <v>342</v>
      </c>
      <c r="I117" s="13"/>
      <c r="J117">
        <v>4.5860000000000003</v>
      </c>
      <c r="K117">
        <v>1.1659999999999999</v>
      </c>
      <c r="L117" s="7">
        <v>1.35</v>
      </c>
      <c r="M117" s="10">
        <v>1.27</v>
      </c>
      <c r="N117" s="10">
        <v>1.44</v>
      </c>
      <c r="O117" s="10">
        <v>1.45</v>
      </c>
      <c r="P117">
        <f t="shared" si="1"/>
        <v>1.3775000000000002</v>
      </c>
      <c r="Q117" t="s">
        <v>225</v>
      </c>
      <c r="R117" t="s">
        <v>225</v>
      </c>
      <c r="S117" t="s">
        <v>225</v>
      </c>
      <c r="T117" t="s">
        <v>225</v>
      </c>
      <c r="U117" t="s">
        <v>225</v>
      </c>
      <c r="V117" t="s">
        <v>225</v>
      </c>
      <c r="W117" t="s">
        <v>225</v>
      </c>
      <c r="X117" t="s">
        <v>225</v>
      </c>
      <c r="Y117" t="s">
        <v>225</v>
      </c>
      <c r="Z117" t="s">
        <v>225</v>
      </c>
      <c r="AB117" t="s">
        <v>225</v>
      </c>
      <c r="AC117" t="s">
        <v>225</v>
      </c>
      <c r="AD117" t="s">
        <v>225</v>
      </c>
    </row>
    <row r="118" spans="1:30" x14ac:dyDescent="0.3">
      <c r="A118">
        <v>116</v>
      </c>
      <c r="B118" t="s">
        <v>199</v>
      </c>
      <c r="C118" t="s">
        <v>189</v>
      </c>
      <c r="D118" s="7">
        <v>1</v>
      </c>
      <c r="E118" s="7" t="s">
        <v>21</v>
      </c>
      <c r="F118" s="7">
        <v>14</v>
      </c>
      <c r="G118" s="7" t="s">
        <v>23</v>
      </c>
      <c r="H118" t="s">
        <v>343</v>
      </c>
      <c r="I118" s="13"/>
      <c r="J118">
        <v>1.756</v>
      </c>
      <c r="K118">
        <v>0.52800000000000002</v>
      </c>
      <c r="L118" s="7">
        <v>1.6</v>
      </c>
      <c r="M118" s="10">
        <v>1.62</v>
      </c>
      <c r="N118" s="10">
        <v>1.9</v>
      </c>
      <c r="O118" s="10">
        <v>1.76</v>
      </c>
      <c r="P118">
        <f t="shared" si="1"/>
        <v>1.72</v>
      </c>
      <c r="Q118">
        <v>3.7852867685302716E-2</v>
      </c>
      <c r="R118">
        <v>0.12799188391120764</v>
      </c>
      <c r="S118">
        <v>0.76085442062325104</v>
      </c>
      <c r="T118">
        <v>0.97293061964293226</v>
      </c>
      <c r="U118">
        <v>0.89281756851095517</v>
      </c>
      <c r="V118">
        <v>1.1918128468082623E-2</v>
      </c>
      <c r="W118">
        <v>412</v>
      </c>
      <c r="X118">
        <v>591</v>
      </c>
      <c r="Y118">
        <v>0.77347902456828699</v>
      </c>
      <c r="Z118">
        <v>0.11155145913043736</v>
      </c>
      <c r="AB118">
        <v>25.078015730314959</v>
      </c>
      <c r="AC118">
        <v>22.446242018437044</v>
      </c>
      <c r="AD118">
        <v>25.140905387729969</v>
      </c>
    </row>
    <row r="119" spans="1:30" x14ac:dyDescent="0.3">
      <c r="A119">
        <v>117</v>
      </c>
      <c r="B119" t="s">
        <v>199</v>
      </c>
      <c r="C119" t="s">
        <v>189</v>
      </c>
      <c r="D119" s="7">
        <v>2</v>
      </c>
      <c r="E119" s="7" t="s">
        <v>21</v>
      </c>
      <c r="F119">
        <v>3</v>
      </c>
      <c r="G119" t="s">
        <v>26</v>
      </c>
      <c r="H119" t="s">
        <v>344</v>
      </c>
      <c r="I119" s="13"/>
      <c r="J119">
        <v>3.2570000000000001</v>
      </c>
      <c r="K119">
        <v>1.02</v>
      </c>
      <c r="L119" s="7">
        <v>1.1499999999999999</v>
      </c>
      <c r="M119" s="10">
        <v>1.44</v>
      </c>
      <c r="N119" s="10">
        <v>1.36</v>
      </c>
      <c r="O119" s="10">
        <v>1.31</v>
      </c>
      <c r="P119">
        <f t="shared" si="1"/>
        <v>1.3149999999999999</v>
      </c>
      <c r="Q119">
        <v>2.6302542229118351E-2</v>
      </c>
      <c r="R119">
        <v>3.840162840777217E-2</v>
      </c>
      <c r="S119">
        <v>0.61795977011494263</v>
      </c>
      <c r="T119">
        <v>0.92004787172073421</v>
      </c>
      <c r="U119">
        <v>1.4156503591346812</v>
      </c>
      <c r="V119">
        <v>3.6189574955245343E-2</v>
      </c>
      <c r="W119">
        <v>399</v>
      </c>
      <c r="X119">
        <v>567</v>
      </c>
      <c r="Y119">
        <v>0.78071185005873422</v>
      </c>
      <c r="Z119">
        <v>0.10750922863318502</v>
      </c>
      <c r="AB119">
        <v>24.115122428410352</v>
      </c>
      <c r="AC119">
        <v>21.584398702185695</v>
      </c>
      <c r="AD119">
        <v>15.246984230893847</v>
      </c>
    </row>
    <row r="120" spans="1:30" x14ac:dyDescent="0.3">
      <c r="A120">
        <v>118</v>
      </c>
      <c r="B120" t="s">
        <v>199</v>
      </c>
      <c r="C120" t="s">
        <v>189</v>
      </c>
      <c r="D120" s="7">
        <v>2</v>
      </c>
      <c r="E120" s="7" t="s">
        <v>21</v>
      </c>
      <c r="F120">
        <v>6</v>
      </c>
      <c r="G120" t="s">
        <v>27</v>
      </c>
      <c r="H120" t="s">
        <v>345</v>
      </c>
      <c r="I120" s="13"/>
      <c r="J120">
        <v>1.389</v>
      </c>
      <c r="K120">
        <v>0.28799999999999998</v>
      </c>
      <c r="L120" s="7">
        <v>1.1399999999999999</v>
      </c>
      <c r="M120" s="10">
        <v>1.23</v>
      </c>
      <c r="N120" s="10">
        <v>1.01</v>
      </c>
      <c r="O120" s="10">
        <v>1.24</v>
      </c>
      <c r="P120">
        <f t="shared" si="1"/>
        <v>1.155</v>
      </c>
      <c r="Q120">
        <v>3.1703957151169443E-2</v>
      </c>
      <c r="R120">
        <v>0.15429225699551319</v>
      </c>
      <c r="S120">
        <v>0.73439424261083752</v>
      </c>
      <c r="T120">
        <v>0.85603419711226403</v>
      </c>
      <c r="U120">
        <v>0.81165586802951906</v>
      </c>
      <c r="V120">
        <v>6.7508885649364386E-2</v>
      </c>
      <c r="W120">
        <v>537</v>
      </c>
      <c r="X120">
        <v>686</v>
      </c>
      <c r="Y120">
        <v>0.86932047037557347</v>
      </c>
      <c r="Z120">
        <v>6.0820093679225751E-2</v>
      </c>
      <c r="AB120">
        <v>14.330975537679553</v>
      </c>
      <c r="AC120">
        <v>12.826979008056364</v>
      </c>
      <c r="AD120">
        <v>15.803469811900456</v>
      </c>
    </row>
    <row r="121" spans="1:30" x14ac:dyDescent="0.3">
      <c r="A121">
        <v>119</v>
      </c>
      <c r="B121" t="s">
        <v>199</v>
      </c>
      <c r="C121" t="s">
        <v>189</v>
      </c>
      <c r="D121" s="7">
        <v>2</v>
      </c>
      <c r="E121" s="7" t="s">
        <v>21</v>
      </c>
      <c r="F121">
        <v>10</v>
      </c>
      <c r="G121" t="s">
        <v>192</v>
      </c>
      <c r="H121" t="s">
        <v>346</v>
      </c>
      <c r="I121" s="13"/>
      <c r="J121">
        <v>2.6619999999999999</v>
      </c>
      <c r="K121">
        <v>0.83399999999999996</v>
      </c>
      <c r="L121" s="7">
        <v>2.1</v>
      </c>
      <c r="M121" s="10">
        <v>1.85</v>
      </c>
      <c r="N121" s="10">
        <v>2.34</v>
      </c>
      <c r="O121" s="10">
        <v>2.59</v>
      </c>
      <c r="P121">
        <f t="shared" si="1"/>
        <v>2.2199999999999998</v>
      </c>
      <c r="Q121">
        <v>2.8790620548089008E-2</v>
      </c>
      <c r="R121">
        <v>0.12933604578085431</v>
      </c>
      <c r="S121">
        <v>0.77533783783783794</v>
      </c>
      <c r="T121">
        <v>0.95912326395597769</v>
      </c>
      <c r="U121">
        <v>0.88828042096588189</v>
      </c>
      <c r="V121">
        <v>1.812557487750989E-2</v>
      </c>
      <c r="W121">
        <v>380</v>
      </c>
      <c r="X121">
        <v>581</v>
      </c>
      <c r="Y121">
        <v>0.7254049287603842</v>
      </c>
      <c r="Z121">
        <v>0.13941949793374062</v>
      </c>
      <c r="AB121">
        <v>32.218609227868441</v>
      </c>
      <c r="AC121">
        <v>28.837449180861206</v>
      </c>
      <c r="AD121">
        <v>32.464353035615119</v>
      </c>
    </row>
    <row r="122" spans="1:30" x14ac:dyDescent="0.3">
      <c r="A122">
        <v>120</v>
      </c>
      <c r="B122" t="s">
        <v>199</v>
      </c>
      <c r="C122" t="s">
        <v>189</v>
      </c>
      <c r="D122" s="7">
        <v>2</v>
      </c>
      <c r="E122" s="7" t="s">
        <v>21</v>
      </c>
      <c r="F122">
        <v>11</v>
      </c>
      <c r="G122" t="s">
        <v>29</v>
      </c>
      <c r="H122" t="s">
        <v>347</v>
      </c>
      <c r="I122" s="13"/>
      <c r="J122">
        <v>0.16800000000000001</v>
      </c>
      <c r="K122">
        <v>0.17499999999999999</v>
      </c>
      <c r="L122" s="7">
        <v>2.4500000000000002</v>
      </c>
      <c r="M122" s="10">
        <v>2.42</v>
      </c>
      <c r="N122" s="10">
        <v>2.96</v>
      </c>
      <c r="O122" s="10">
        <v>3.03</v>
      </c>
      <c r="P122">
        <f t="shared" si="1"/>
        <v>2.7149999999999999</v>
      </c>
      <c r="Q122">
        <v>2.8635832265572397E-2</v>
      </c>
      <c r="R122">
        <v>3.6574314021414894E-2</v>
      </c>
      <c r="S122">
        <v>0.71172830923248065</v>
      </c>
      <c r="T122">
        <v>0.76102096728071067</v>
      </c>
      <c r="U122">
        <v>1.4368238106437459</v>
      </c>
      <c r="V122">
        <v>0.11860337759359231</v>
      </c>
      <c r="W122">
        <v>611</v>
      </c>
      <c r="X122">
        <v>680</v>
      </c>
      <c r="Y122">
        <v>0.99830722481996914</v>
      </c>
      <c r="Z122">
        <v>7.3578585565497318E-4</v>
      </c>
      <c r="AB122">
        <v>5.3626535651988894</v>
      </c>
      <c r="AC122">
        <v>4.799584162189471</v>
      </c>
      <c r="AD122">
        <v>3.3404124615940867</v>
      </c>
    </row>
    <row r="123" spans="1:30" x14ac:dyDescent="0.3">
      <c r="A123">
        <v>121</v>
      </c>
      <c r="B123" t="s">
        <v>199</v>
      </c>
      <c r="C123" t="s">
        <v>189</v>
      </c>
      <c r="D123" s="7">
        <v>3</v>
      </c>
      <c r="E123" s="7" t="s">
        <v>21</v>
      </c>
      <c r="F123">
        <v>2</v>
      </c>
      <c r="G123" t="s">
        <v>22</v>
      </c>
      <c r="H123" t="s">
        <v>348</v>
      </c>
      <c r="I123" s="13"/>
      <c r="J123">
        <v>2.4609999999999999</v>
      </c>
      <c r="K123">
        <v>0.93500000000000005</v>
      </c>
      <c r="L123" s="7">
        <v>4.8899999999999997</v>
      </c>
      <c r="M123" s="10">
        <v>7</v>
      </c>
      <c r="N123" s="10">
        <v>4.87</v>
      </c>
      <c r="O123" s="10">
        <v>3.99</v>
      </c>
      <c r="P123">
        <f t="shared" si="1"/>
        <v>5.1875</v>
      </c>
      <c r="Q123">
        <v>2.6109141183316011E-2</v>
      </c>
      <c r="R123">
        <v>9.1521774820045254E-2</v>
      </c>
      <c r="S123">
        <v>0.68218554075235116</v>
      </c>
      <c r="T123">
        <v>0.90824602906387286</v>
      </c>
      <c r="U123">
        <v>1.0384755664894445</v>
      </c>
      <c r="V123">
        <v>4.1796492236971343E-2</v>
      </c>
      <c r="W123">
        <v>434</v>
      </c>
      <c r="X123">
        <v>580</v>
      </c>
      <c r="Y123">
        <v>0.83046604230155008</v>
      </c>
      <c r="Z123">
        <v>8.0678121120552795E-2</v>
      </c>
      <c r="AB123">
        <v>18.19152169336007</v>
      </c>
      <c r="AC123">
        <v>16.282423517310797</v>
      </c>
      <c r="AD123">
        <v>15.679158992977904</v>
      </c>
    </row>
    <row r="124" spans="1:30" x14ac:dyDescent="0.3">
      <c r="A124">
        <v>122</v>
      </c>
      <c r="B124" t="s">
        <v>199</v>
      </c>
      <c r="C124" t="s">
        <v>189</v>
      </c>
      <c r="D124" s="7">
        <v>3</v>
      </c>
      <c r="E124" s="7" t="s">
        <v>21</v>
      </c>
      <c r="F124">
        <v>5</v>
      </c>
      <c r="G124" t="s">
        <v>192</v>
      </c>
      <c r="H124" t="s">
        <v>349</v>
      </c>
      <c r="I124" s="13"/>
      <c r="J124">
        <v>4.4029999999999996</v>
      </c>
      <c r="K124">
        <v>1.03</v>
      </c>
      <c r="L124" s="7">
        <v>1.46</v>
      </c>
      <c r="M124" s="10">
        <v>1.27</v>
      </c>
      <c r="N124" s="10">
        <v>1.26</v>
      </c>
      <c r="O124" s="10">
        <v>1.29</v>
      </c>
      <c r="P124">
        <f t="shared" si="1"/>
        <v>1.32</v>
      </c>
      <c r="Q124">
        <v>3.9140687840949928E-2</v>
      </c>
      <c r="R124">
        <v>9.2604659469291861E-2</v>
      </c>
      <c r="S124">
        <v>0.8243534482758621</v>
      </c>
      <c r="T124">
        <v>0.90881627436769929</v>
      </c>
      <c r="U124">
        <v>1.0333671609326205</v>
      </c>
      <c r="V124">
        <v>4.1523904559107219E-2</v>
      </c>
      <c r="W124">
        <v>441</v>
      </c>
      <c r="X124">
        <v>618</v>
      </c>
      <c r="Y124">
        <v>0.79194687968309285</v>
      </c>
      <c r="Z124">
        <v>0.101303947999149</v>
      </c>
      <c r="AB124">
        <v>22.672882190286199</v>
      </c>
      <c r="AC124">
        <v>20.293511440324778</v>
      </c>
      <c r="AD124">
        <v>19.638239154038679</v>
      </c>
    </row>
    <row r="125" spans="1:30" x14ac:dyDescent="0.3">
      <c r="A125">
        <v>123</v>
      </c>
      <c r="B125" t="s">
        <v>199</v>
      </c>
      <c r="C125" t="s">
        <v>189</v>
      </c>
      <c r="D125" s="7">
        <v>3</v>
      </c>
      <c r="E125" s="7" t="s">
        <v>21</v>
      </c>
      <c r="F125">
        <v>10</v>
      </c>
      <c r="G125" t="s">
        <v>28</v>
      </c>
      <c r="H125" t="s">
        <v>350</v>
      </c>
      <c r="I125" s="13"/>
      <c r="J125">
        <v>2.234</v>
      </c>
      <c r="K125">
        <v>0.76700000000000002</v>
      </c>
      <c r="L125" s="7">
        <v>4.46</v>
      </c>
      <c r="M125" s="10">
        <v>3.85</v>
      </c>
      <c r="N125" s="10">
        <v>3.84</v>
      </c>
      <c r="O125" s="10">
        <v>3.94</v>
      </c>
      <c r="P125">
        <f t="shared" si="1"/>
        <v>4.0225</v>
      </c>
      <c r="Q125">
        <v>3.9538843113814767E-2</v>
      </c>
      <c r="R125">
        <v>6.5891388265988393E-2</v>
      </c>
      <c r="S125">
        <v>0.78763655618311545</v>
      </c>
      <c r="T125">
        <v>0.88181084607824767</v>
      </c>
      <c r="U125">
        <v>1.1811713422034622</v>
      </c>
      <c r="V125">
        <v>5.4624563750833931E-2</v>
      </c>
      <c r="W125">
        <v>422</v>
      </c>
      <c r="X125">
        <v>548</v>
      </c>
      <c r="Y125">
        <v>0.85463103530575435</v>
      </c>
      <c r="Z125">
        <v>6.8221340143558948E-2</v>
      </c>
      <c r="AB125">
        <v>15.717767368012222</v>
      </c>
      <c r="AC125">
        <v>14.068252479581844</v>
      </c>
      <c r="AD125">
        <v>11.910424827390134</v>
      </c>
    </row>
    <row r="126" spans="1:30" x14ac:dyDescent="0.3">
      <c r="A126">
        <v>124</v>
      </c>
      <c r="B126" t="s">
        <v>199</v>
      </c>
      <c r="C126" t="s">
        <v>189</v>
      </c>
      <c r="D126" s="7">
        <v>3</v>
      </c>
      <c r="E126" s="7" t="s">
        <v>21</v>
      </c>
      <c r="F126">
        <v>11</v>
      </c>
      <c r="G126" t="s">
        <v>23</v>
      </c>
      <c r="H126" t="s">
        <v>351</v>
      </c>
      <c r="I126" s="13"/>
      <c r="J126">
        <v>0.56799999999999995</v>
      </c>
      <c r="K126">
        <v>0.16500000000000001</v>
      </c>
      <c r="L126" s="7">
        <v>1.38</v>
      </c>
      <c r="M126" s="10">
        <v>2.33</v>
      </c>
      <c r="N126" s="10">
        <v>1.79</v>
      </c>
      <c r="O126" s="10">
        <v>2.02</v>
      </c>
      <c r="P126">
        <f t="shared" si="1"/>
        <v>1.88</v>
      </c>
      <c r="Q126">
        <v>3.7255590747828637E-2</v>
      </c>
      <c r="R126">
        <v>0.11349919116401548</v>
      </c>
      <c r="S126">
        <v>0.71101976146514301</v>
      </c>
      <c r="T126">
        <v>0.89522671282848609</v>
      </c>
      <c r="U126">
        <v>0.94500723339822845</v>
      </c>
      <c r="V126">
        <v>4.806696729637288E-2</v>
      </c>
      <c r="W126">
        <v>385</v>
      </c>
      <c r="X126">
        <v>566</v>
      </c>
      <c r="Y126">
        <v>0.7545135125477912</v>
      </c>
      <c r="Z126">
        <v>0.1223329780588444</v>
      </c>
      <c r="AB126">
        <v>27.736519195067679</v>
      </c>
      <c r="AC126">
        <v>24.825747043329066</v>
      </c>
      <c r="AD126">
        <v>26.270430707769442</v>
      </c>
    </row>
    <row r="127" spans="1:30" x14ac:dyDescent="0.3">
      <c r="A127">
        <v>125</v>
      </c>
      <c r="B127" t="s">
        <v>199</v>
      </c>
      <c r="C127" t="s">
        <v>189</v>
      </c>
      <c r="D127" s="7">
        <v>3</v>
      </c>
      <c r="E127" s="7" t="s">
        <v>21</v>
      </c>
      <c r="F127">
        <v>15</v>
      </c>
      <c r="G127" t="s">
        <v>26</v>
      </c>
      <c r="H127" t="s">
        <v>352</v>
      </c>
      <c r="I127" s="13"/>
      <c r="J127">
        <v>4.3079999999999998</v>
      </c>
      <c r="K127">
        <v>1.198</v>
      </c>
      <c r="L127" s="7">
        <v>3</v>
      </c>
      <c r="M127" s="10">
        <v>3.17</v>
      </c>
      <c r="N127" s="10">
        <v>2.2200000000000002</v>
      </c>
      <c r="O127" s="10">
        <v>3.19</v>
      </c>
      <c r="P127">
        <f t="shared" si="1"/>
        <v>2.895</v>
      </c>
      <c r="Q127">
        <v>4.4149027365038798E-2</v>
      </c>
      <c r="R127">
        <v>6.8471273496574239E-2</v>
      </c>
      <c r="S127">
        <v>0.71014462240460596</v>
      </c>
      <c r="T127">
        <v>0.9411771876528523</v>
      </c>
      <c r="U127">
        <v>1.1644915946185643</v>
      </c>
      <c r="V127">
        <v>2.632860784169349E-2</v>
      </c>
      <c r="W127">
        <v>236</v>
      </c>
      <c r="X127">
        <v>382</v>
      </c>
      <c r="Y127">
        <v>0.68360869426987836</v>
      </c>
      <c r="Z127">
        <v>0.16519242247350513</v>
      </c>
      <c r="AB127">
        <v>39.603090766790231</v>
      </c>
      <c r="AC127">
        <v>35.446915642078004</v>
      </c>
      <c r="AD127">
        <v>30.43982095352851</v>
      </c>
    </row>
    <row r="128" spans="1:30" x14ac:dyDescent="0.3">
      <c r="A128">
        <v>126</v>
      </c>
      <c r="B128" t="s">
        <v>199</v>
      </c>
      <c r="C128" t="s">
        <v>189</v>
      </c>
      <c r="D128" s="7">
        <v>4</v>
      </c>
      <c r="E128" s="7" t="s">
        <v>21</v>
      </c>
      <c r="F128">
        <v>9</v>
      </c>
      <c r="G128" t="s">
        <v>25</v>
      </c>
      <c r="H128" t="s">
        <v>353</v>
      </c>
      <c r="I128" s="13"/>
      <c r="J128">
        <v>1.3149999999999999</v>
      </c>
      <c r="K128">
        <v>0.35799999999999998</v>
      </c>
      <c r="L128" s="7">
        <v>1.34</v>
      </c>
      <c r="M128" s="10">
        <v>1.17</v>
      </c>
      <c r="N128" s="10">
        <v>1.28</v>
      </c>
      <c r="O128" s="10">
        <v>1.32</v>
      </c>
      <c r="P128">
        <f t="shared" si="1"/>
        <v>1.2775000000000001</v>
      </c>
      <c r="Q128">
        <v>8.2666478531702545E-2</v>
      </c>
      <c r="R128">
        <v>0.19805997459595964</v>
      </c>
      <c r="S128">
        <v>0.86332717863847452</v>
      </c>
      <c r="T128">
        <v>0.95937737872740692</v>
      </c>
      <c r="U128">
        <v>0.70320328099055485</v>
      </c>
      <c r="V128">
        <v>1.8010526030309233E-2</v>
      </c>
      <c r="W128">
        <v>473</v>
      </c>
      <c r="X128">
        <v>633</v>
      </c>
      <c r="Y128">
        <v>0.82950789648533985</v>
      </c>
      <c r="Z128">
        <v>8.1179475361517525E-2</v>
      </c>
      <c r="AB128">
        <v>18.294752879184241</v>
      </c>
      <c r="AC128">
        <v>16.374821941615124</v>
      </c>
      <c r="AD128">
        <v>23.286043146085753</v>
      </c>
    </row>
    <row r="129" spans="1:30" x14ac:dyDescent="0.3">
      <c r="A129">
        <v>127</v>
      </c>
      <c r="B129" t="s">
        <v>199</v>
      </c>
      <c r="C129" t="s">
        <v>189</v>
      </c>
      <c r="D129" s="7">
        <v>4</v>
      </c>
      <c r="E129" s="7" t="s">
        <v>21</v>
      </c>
      <c r="F129">
        <v>10</v>
      </c>
      <c r="G129" t="s">
        <v>27</v>
      </c>
      <c r="H129" t="s">
        <v>354</v>
      </c>
      <c r="I129" s="13"/>
      <c r="J129">
        <v>1.3029999999999999</v>
      </c>
      <c r="K129">
        <v>0.23599999999999999</v>
      </c>
      <c r="L129" s="7">
        <v>1.35</v>
      </c>
      <c r="M129" s="10">
        <v>1.37</v>
      </c>
      <c r="N129" s="10">
        <v>1.45</v>
      </c>
      <c r="O129" s="10">
        <v>1.6</v>
      </c>
      <c r="P129">
        <f t="shared" si="1"/>
        <v>1.4424999999999999</v>
      </c>
      <c r="Q129">
        <v>2.483107133518166E-2</v>
      </c>
      <c r="R129">
        <v>0.11503446379547137</v>
      </c>
      <c r="S129">
        <v>0.76382399927658551</v>
      </c>
      <c r="T129">
        <v>0.82013354103717262</v>
      </c>
      <c r="U129">
        <v>0.93917202752562956</v>
      </c>
      <c r="V129">
        <v>8.6115426380202517E-2</v>
      </c>
      <c r="W129">
        <v>560</v>
      </c>
      <c r="X129">
        <v>677</v>
      </c>
      <c r="Y129">
        <v>0.91876448429921864</v>
      </c>
      <c r="Z129">
        <v>3.6795801212085852E-2</v>
      </c>
      <c r="AB129">
        <v>10.255828244249461</v>
      </c>
      <c r="AC129">
        <v>9.1794187576926802</v>
      </c>
      <c r="AD129">
        <v>9.7739482104008655</v>
      </c>
    </row>
    <row r="130" spans="1:30" x14ac:dyDescent="0.3">
      <c r="A130">
        <v>128</v>
      </c>
      <c r="B130" t="s">
        <v>199</v>
      </c>
      <c r="C130" t="s">
        <v>189</v>
      </c>
      <c r="D130" s="7">
        <v>4</v>
      </c>
      <c r="E130" s="7" t="s">
        <v>21</v>
      </c>
      <c r="F130">
        <v>13</v>
      </c>
      <c r="G130" t="s">
        <v>22</v>
      </c>
      <c r="H130" t="s">
        <v>355</v>
      </c>
      <c r="I130" s="13"/>
      <c r="J130">
        <v>2.2810000000000001</v>
      </c>
      <c r="K130">
        <v>0.97899999999999998</v>
      </c>
      <c r="L130" s="7">
        <v>4.18</v>
      </c>
      <c r="M130" s="10">
        <v>6.73</v>
      </c>
      <c r="N130" s="10">
        <v>3.73</v>
      </c>
      <c r="O130" s="10">
        <v>3.64</v>
      </c>
      <c r="P130">
        <f t="shared" si="1"/>
        <v>4.57</v>
      </c>
      <c r="Q130">
        <v>4.177462589330562E-2</v>
      </c>
      <c r="R130">
        <v>9.6959767654012999E-2</v>
      </c>
      <c r="S130">
        <v>0.89806034482758623</v>
      </c>
      <c r="T130">
        <v>0.90649127823849007</v>
      </c>
      <c r="U130">
        <v>1.0134084338822129</v>
      </c>
      <c r="V130">
        <v>4.2636370091493285E-2</v>
      </c>
      <c r="W130">
        <v>366</v>
      </c>
      <c r="X130">
        <v>514</v>
      </c>
      <c r="Y130">
        <v>0.78977014841575288</v>
      </c>
      <c r="Z130">
        <v>0.10249928567078898</v>
      </c>
      <c r="AB130">
        <v>22.947322421808895</v>
      </c>
      <c r="AC130">
        <v>20.539151257654868</v>
      </c>
      <c r="AD130">
        <v>20.26739720230324</v>
      </c>
    </row>
    <row r="131" spans="1:30" x14ac:dyDescent="0.3">
      <c r="A131">
        <v>129</v>
      </c>
      <c r="B131" t="s">
        <v>199</v>
      </c>
      <c r="C131" t="s">
        <v>189</v>
      </c>
      <c r="D131" s="7">
        <v>4</v>
      </c>
      <c r="E131" s="7" t="s">
        <v>21</v>
      </c>
      <c r="F131">
        <v>14</v>
      </c>
      <c r="G131" t="s">
        <v>23</v>
      </c>
      <c r="H131" t="s">
        <v>356</v>
      </c>
      <c r="I131" s="13"/>
      <c r="J131">
        <v>3.78</v>
      </c>
      <c r="K131">
        <v>1.1279999999999999</v>
      </c>
      <c r="L131" s="7">
        <v>1.97</v>
      </c>
      <c r="M131" s="10">
        <v>2.2799999999999998</v>
      </c>
      <c r="N131" s="10">
        <v>3.24</v>
      </c>
      <c r="O131" s="10">
        <v>2.02</v>
      </c>
      <c r="P131">
        <f t="shared" si="1"/>
        <v>2.3774999999999999</v>
      </c>
      <c r="Q131">
        <v>3.1330969419979211E-2</v>
      </c>
      <c r="R131">
        <v>0.15899316738964497</v>
      </c>
      <c r="S131">
        <v>0.80172413793103459</v>
      </c>
      <c r="T131">
        <v>0.96908461220728881</v>
      </c>
      <c r="U131">
        <v>0.79862153875334352</v>
      </c>
      <c r="V131">
        <v>1.3638302401783819E-2</v>
      </c>
      <c r="W131">
        <v>436</v>
      </c>
      <c r="X131">
        <v>640</v>
      </c>
      <c r="Y131">
        <v>0.7559717509483399</v>
      </c>
      <c r="Z131">
        <v>0.1214944328539181</v>
      </c>
      <c r="AB131">
        <v>27.525042560694764</v>
      </c>
      <c r="AC131">
        <v>24.636464175976823</v>
      </c>
      <c r="AD131">
        <v>30.848734952020699</v>
      </c>
    </row>
    <row r="132" spans="1:30" x14ac:dyDescent="0.3">
      <c r="A132">
        <v>130</v>
      </c>
      <c r="B132" t="s">
        <v>199</v>
      </c>
      <c r="C132" t="s">
        <v>189</v>
      </c>
      <c r="D132" s="7">
        <v>4</v>
      </c>
      <c r="E132" s="7" t="s">
        <v>21</v>
      </c>
      <c r="F132">
        <v>11</v>
      </c>
      <c r="G132" t="s">
        <v>24</v>
      </c>
      <c r="H132" t="s">
        <v>357</v>
      </c>
      <c r="I132" s="13"/>
      <c r="J132">
        <v>2.5739999999999998</v>
      </c>
      <c r="K132">
        <v>0.92600000000000005</v>
      </c>
      <c r="L132" s="7">
        <v>5.08</v>
      </c>
      <c r="M132" s="10">
        <v>3.14</v>
      </c>
      <c r="N132" s="10">
        <v>4.2</v>
      </c>
      <c r="O132" s="10">
        <v>3.71</v>
      </c>
      <c r="P132">
        <f t="shared" ref="P132:P195" si="2">AVERAGE(L132:O132)</f>
        <v>4.0325000000000006</v>
      </c>
      <c r="Q132">
        <v>2.7209526443915534E-2</v>
      </c>
      <c r="R132">
        <v>0.1383613048290642</v>
      </c>
      <c r="S132">
        <v>0.92121234641300043</v>
      </c>
      <c r="T132">
        <v>0.85367826683042669</v>
      </c>
      <c r="U132">
        <v>0.85898535098414097</v>
      </c>
      <c r="V132">
        <v>6.8705774822632862E-2</v>
      </c>
      <c r="W132">
        <v>484</v>
      </c>
      <c r="X132">
        <v>601</v>
      </c>
      <c r="Y132">
        <v>0.8941543292956482</v>
      </c>
      <c r="Z132">
        <v>4.8587516352822713E-2</v>
      </c>
      <c r="AB132">
        <v>12.174554081287875</v>
      </c>
      <c r="AC132">
        <v>10.896826498719715</v>
      </c>
      <c r="AD132">
        <v>12.685695380293975</v>
      </c>
    </row>
    <row r="133" spans="1:30" x14ac:dyDescent="0.3">
      <c r="A133">
        <v>131</v>
      </c>
      <c r="B133" t="s">
        <v>200</v>
      </c>
      <c r="C133" t="s">
        <v>188</v>
      </c>
      <c r="D133" s="7">
        <v>1</v>
      </c>
      <c r="E133" s="7" t="s">
        <v>21</v>
      </c>
      <c r="F133">
        <v>3</v>
      </c>
      <c r="G133" t="s">
        <v>24</v>
      </c>
      <c r="H133" t="s">
        <v>358</v>
      </c>
      <c r="I133" s="13"/>
      <c r="J133">
        <v>0.74399999999999999</v>
      </c>
      <c r="K133">
        <v>0.217</v>
      </c>
      <c r="L133" s="7">
        <v>3.43</v>
      </c>
      <c r="M133" s="10">
        <v>5.3</v>
      </c>
      <c r="N133" s="10">
        <v>3.88</v>
      </c>
      <c r="O133" s="10">
        <v>3.65</v>
      </c>
      <c r="P133">
        <f t="shared" si="2"/>
        <v>4.0649999999999995</v>
      </c>
      <c r="Q133">
        <v>4.9575709287637076E-2</v>
      </c>
      <c r="R133">
        <v>0.4352462487786587</v>
      </c>
      <c r="S133">
        <v>0.89159308425610717</v>
      </c>
      <c r="T133">
        <v>0.92039210855635212</v>
      </c>
      <c r="U133">
        <v>0.36126496321292723</v>
      </c>
      <c r="V133">
        <v>3.6027113629125307E-2</v>
      </c>
      <c r="W133">
        <v>439</v>
      </c>
      <c r="X133">
        <v>643</v>
      </c>
      <c r="Y133">
        <v>0.75866911802257286</v>
      </c>
      <c r="Z133">
        <v>0.1199475937339444</v>
      </c>
      <c r="AB133">
        <v>27.137021680521791</v>
      </c>
      <c r="AC133">
        <v>24.289164701837002</v>
      </c>
      <c r="AD133">
        <v>67.233657218846119</v>
      </c>
    </row>
    <row r="134" spans="1:30" x14ac:dyDescent="0.3">
      <c r="A134">
        <v>132</v>
      </c>
      <c r="B134" t="s">
        <v>200</v>
      </c>
      <c r="C134" t="s">
        <v>188</v>
      </c>
      <c r="D134" s="7">
        <v>1</v>
      </c>
      <c r="E134" s="7" t="s">
        <v>21</v>
      </c>
      <c r="F134">
        <v>7</v>
      </c>
      <c r="G134" t="s">
        <v>27</v>
      </c>
      <c r="H134" t="s">
        <v>359</v>
      </c>
      <c r="I134" s="13"/>
      <c r="J134">
        <v>0.25</v>
      </c>
      <c r="K134">
        <v>3.7999999999999999E-2</v>
      </c>
      <c r="L134" s="7">
        <v>1.36</v>
      </c>
      <c r="M134" s="10">
        <v>1.38</v>
      </c>
      <c r="N134" s="10">
        <v>1.45</v>
      </c>
      <c r="O134" s="10">
        <v>1.35</v>
      </c>
      <c r="P134">
        <f t="shared" si="2"/>
        <v>1.3850000000000002</v>
      </c>
      <c r="Q134">
        <v>0.18145853654104882</v>
      </c>
      <c r="R134">
        <v>0.48907693401285074</v>
      </c>
      <c r="S134">
        <v>0.93150146899644359</v>
      </c>
      <c r="T134">
        <v>0.90031654735091782</v>
      </c>
      <c r="U134">
        <v>0.31062281901710931</v>
      </c>
      <c r="V134">
        <v>4.5604767674931858E-2</v>
      </c>
      <c r="W134">
        <v>433</v>
      </c>
      <c r="X134">
        <v>593</v>
      </c>
      <c r="Y134">
        <v>0.81147540983606559</v>
      </c>
      <c r="Z134">
        <v>9.0724636077198301E-2</v>
      </c>
      <c r="AB134">
        <v>20.314300326468867</v>
      </c>
      <c r="AC134">
        <v>18.182441445017577</v>
      </c>
      <c r="AD134">
        <v>58.535433753873946</v>
      </c>
    </row>
    <row r="135" spans="1:30" x14ac:dyDescent="0.3">
      <c r="A135">
        <v>133</v>
      </c>
      <c r="B135" t="s">
        <v>200</v>
      </c>
      <c r="C135" t="s">
        <v>188</v>
      </c>
      <c r="D135" s="7">
        <v>1</v>
      </c>
      <c r="E135" s="7" t="s">
        <v>21</v>
      </c>
      <c r="F135">
        <v>9</v>
      </c>
      <c r="G135" t="s">
        <v>22</v>
      </c>
      <c r="H135" t="s">
        <v>360</v>
      </c>
      <c r="I135" s="13"/>
      <c r="J135">
        <v>0.77400000000000002</v>
      </c>
      <c r="K135">
        <v>0.224</v>
      </c>
      <c r="L135" s="7">
        <v>4.21</v>
      </c>
      <c r="M135" s="10">
        <v>4.3</v>
      </c>
      <c r="N135" s="10">
        <v>3.98</v>
      </c>
      <c r="O135" s="10">
        <v>3.98</v>
      </c>
      <c r="P135">
        <f t="shared" si="2"/>
        <v>4.1174999999999997</v>
      </c>
      <c r="Q135">
        <v>6.6380793291282131E-2</v>
      </c>
      <c r="R135">
        <v>0.19375220521542763</v>
      </c>
      <c r="S135">
        <v>0.84014595339369347</v>
      </c>
      <c r="T135">
        <v>0.94939285492877445</v>
      </c>
      <c r="U135">
        <v>0.71275334581550265</v>
      </c>
      <c r="V135">
        <v>2.2554041078457987E-2</v>
      </c>
      <c r="W135">
        <v>363</v>
      </c>
      <c r="X135">
        <v>569</v>
      </c>
      <c r="Y135">
        <v>0.70871815593011622</v>
      </c>
      <c r="Z135">
        <v>0.14952644134704379</v>
      </c>
      <c r="AB135">
        <v>35.025044711628688</v>
      </c>
      <c r="AC135">
        <v>31.349347453417778</v>
      </c>
      <c r="AD135">
        <v>43.983444816452121</v>
      </c>
    </row>
    <row r="136" spans="1:30" x14ac:dyDescent="0.3">
      <c r="A136">
        <v>134</v>
      </c>
      <c r="B136" t="s">
        <v>200</v>
      </c>
      <c r="C136" t="s">
        <v>188</v>
      </c>
      <c r="D136" s="7">
        <v>1</v>
      </c>
      <c r="E136" s="7" t="s">
        <v>21</v>
      </c>
      <c r="F136">
        <v>10</v>
      </c>
      <c r="G136" t="s">
        <v>192</v>
      </c>
      <c r="H136" t="s">
        <v>361</v>
      </c>
      <c r="I136" s="13"/>
      <c r="J136">
        <v>4.0739999999999998</v>
      </c>
      <c r="K136">
        <v>0.69599999999999995</v>
      </c>
      <c r="L136" s="7">
        <v>2.1800000000000002</v>
      </c>
      <c r="M136" s="10">
        <v>2.17</v>
      </c>
      <c r="N136" s="10">
        <v>3.13</v>
      </c>
      <c r="O136" s="10">
        <v>3.86</v>
      </c>
      <c r="P136">
        <f t="shared" si="2"/>
        <v>2.835</v>
      </c>
      <c r="Q136">
        <v>0.10293615342074543</v>
      </c>
      <c r="R136">
        <v>0.60123487076880255</v>
      </c>
      <c r="S136">
        <v>0.95523572505988319</v>
      </c>
      <c r="T136">
        <v>0.92628958419683582</v>
      </c>
      <c r="U136">
        <v>0.22095583889136425</v>
      </c>
      <c r="V136">
        <v>3.3253219411076354E-2</v>
      </c>
      <c r="W136">
        <v>381</v>
      </c>
      <c r="X136">
        <v>556</v>
      </c>
      <c r="Y136">
        <v>0.76138433515482695</v>
      </c>
      <c r="Z136">
        <v>0.11839606267505672</v>
      </c>
      <c r="AB136">
        <v>26.750538570497046</v>
      </c>
      <c r="AC136">
        <v>23.943241495940956</v>
      </c>
      <c r="AD136">
        <v>108.36211261071475</v>
      </c>
    </row>
    <row r="137" spans="1:30" x14ac:dyDescent="0.3">
      <c r="A137">
        <v>135</v>
      </c>
      <c r="B137" t="s">
        <v>200</v>
      </c>
      <c r="C137" t="s">
        <v>188</v>
      </c>
      <c r="D137" s="7">
        <v>1</v>
      </c>
      <c r="E137" s="7" t="s">
        <v>21</v>
      </c>
      <c r="F137">
        <v>12</v>
      </c>
      <c r="G137" t="s">
        <v>28</v>
      </c>
      <c r="H137" t="s">
        <v>362</v>
      </c>
      <c r="I137" s="13"/>
      <c r="J137">
        <v>0.90200000000000002</v>
      </c>
      <c r="K137">
        <v>0.28299999999999997</v>
      </c>
      <c r="L137" s="7">
        <v>2.84</v>
      </c>
      <c r="M137" s="10">
        <v>2.74</v>
      </c>
      <c r="N137" s="10">
        <v>2.34</v>
      </c>
      <c r="O137" s="10">
        <v>3.01</v>
      </c>
      <c r="P137">
        <f t="shared" si="2"/>
        <v>2.7324999999999999</v>
      </c>
      <c r="Q137">
        <v>4.9541918638658158E-2</v>
      </c>
      <c r="R137">
        <v>0.34044042134184971</v>
      </c>
      <c r="S137">
        <v>0.80633811776634257</v>
      </c>
      <c r="T137">
        <v>0.92286162324770749</v>
      </c>
      <c r="U137">
        <v>0.46795888065703078</v>
      </c>
      <c r="V137">
        <v>3.486341356263567E-2</v>
      </c>
      <c r="W137">
        <v>362</v>
      </c>
      <c r="X137">
        <v>577</v>
      </c>
      <c r="Y137">
        <v>0.69694425470552523</v>
      </c>
      <c r="Z137">
        <v>0.15680195768674474</v>
      </c>
      <c r="AB137">
        <v>37.116684576923035</v>
      </c>
      <c r="AC137">
        <v>33.221465553640051</v>
      </c>
      <c r="AD137">
        <v>70.992275019967437</v>
      </c>
    </row>
    <row r="138" spans="1:30" x14ac:dyDescent="0.3">
      <c r="A138">
        <v>136</v>
      </c>
      <c r="B138" t="s">
        <v>200</v>
      </c>
      <c r="C138" t="s">
        <v>188</v>
      </c>
      <c r="D138" s="7">
        <v>1</v>
      </c>
      <c r="E138" s="7" t="s">
        <v>21</v>
      </c>
      <c r="F138">
        <v>13</v>
      </c>
      <c r="G138" t="s">
        <v>29</v>
      </c>
      <c r="H138" t="s">
        <v>363</v>
      </c>
      <c r="I138" s="13"/>
      <c r="J138">
        <v>1.109</v>
      </c>
      <c r="K138">
        <v>0.28100000000000003</v>
      </c>
      <c r="L138" s="7">
        <v>6.42</v>
      </c>
      <c r="M138" s="10">
        <v>6.13</v>
      </c>
      <c r="N138" s="10">
        <v>8.16</v>
      </c>
      <c r="O138" s="10">
        <v>6.14</v>
      </c>
      <c r="P138">
        <f t="shared" si="2"/>
        <v>6.7125000000000004</v>
      </c>
      <c r="Q138">
        <v>0.14546135629762577</v>
      </c>
      <c r="R138">
        <v>0.21869288575616452</v>
      </c>
      <c r="S138">
        <v>0.60372967780093401</v>
      </c>
      <c r="T138">
        <v>0.70102669561867537</v>
      </c>
      <c r="U138">
        <v>0.66016534465827004</v>
      </c>
      <c r="V138">
        <v>0.15426544346111681</v>
      </c>
      <c r="W138">
        <v>419</v>
      </c>
      <c r="X138">
        <v>565</v>
      </c>
      <c r="Y138">
        <v>0.82415804363833667</v>
      </c>
      <c r="Z138">
        <v>8.3989498377497696E-2</v>
      </c>
      <c r="AB138">
        <v>18.878604521687553</v>
      </c>
      <c r="AC138">
        <v>16.897405718381215</v>
      </c>
      <c r="AD138">
        <v>25.59571758061314</v>
      </c>
    </row>
    <row r="139" spans="1:30" x14ac:dyDescent="0.3">
      <c r="A139">
        <v>137</v>
      </c>
      <c r="B139" t="s">
        <v>200</v>
      </c>
      <c r="C139" t="s">
        <v>188</v>
      </c>
      <c r="D139" s="7">
        <v>2</v>
      </c>
      <c r="E139" s="7" t="s">
        <v>21</v>
      </c>
      <c r="F139">
        <v>2</v>
      </c>
      <c r="G139" t="s">
        <v>192</v>
      </c>
      <c r="H139" t="s">
        <v>364</v>
      </c>
      <c r="I139" s="13"/>
      <c r="J139">
        <v>0.42199999999999999</v>
      </c>
      <c r="K139">
        <v>8.8999999999999996E-2</v>
      </c>
      <c r="L139" s="7">
        <v>1.6</v>
      </c>
      <c r="M139" s="10">
        <v>1.61</v>
      </c>
      <c r="N139" s="10">
        <v>1.61</v>
      </c>
      <c r="O139" s="10">
        <v>1.59</v>
      </c>
      <c r="P139">
        <f t="shared" si="2"/>
        <v>1.6025</v>
      </c>
      <c r="Q139">
        <v>0.15501273904722093</v>
      </c>
      <c r="R139">
        <v>0.61198852188063269</v>
      </c>
      <c r="S139">
        <v>0.90378412398709784</v>
      </c>
      <c r="T139">
        <v>0.95428289010148448</v>
      </c>
      <c r="U139">
        <v>0.21325672316595912</v>
      </c>
      <c r="V139">
        <v>2.0322862824054357E-2</v>
      </c>
      <c r="W139">
        <v>399</v>
      </c>
      <c r="X139">
        <v>592</v>
      </c>
      <c r="Y139">
        <v>0.74887427995524858</v>
      </c>
      <c r="Z139">
        <v>0.12559108497675814</v>
      </c>
      <c r="AB139">
        <v>28.565733910399743</v>
      </c>
      <c r="AC139">
        <v>25.567938114576105</v>
      </c>
      <c r="AD139">
        <v>119.89276462190975</v>
      </c>
    </row>
    <row r="140" spans="1:30" x14ac:dyDescent="0.3">
      <c r="A140">
        <v>138</v>
      </c>
      <c r="B140" t="s">
        <v>200</v>
      </c>
      <c r="C140" t="s">
        <v>188</v>
      </c>
      <c r="D140" s="7">
        <v>2</v>
      </c>
      <c r="E140" s="7" t="s">
        <v>21</v>
      </c>
      <c r="F140">
        <v>5</v>
      </c>
      <c r="G140" t="s">
        <v>23</v>
      </c>
      <c r="H140" t="s">
        <v>365</v>
      </c>
      <c r="I140" s="13"/>
      <c r="J140">
        <v>0.115</v>
      </c>
      <c r="K140">
        <v>0.02</v>
      </c>
      <c r="L140" s="7">
        <v>1.63</v>
      </c>
      <c r="M140" s="10">
        <v>1.69</v>
      </c>
      <c r="N140" s="10">
        <v>1.74</v>
      </c>
      <c r="O140" s="10">
        <v>1.7</v>
      </c>
      <c r="P140">
        <f t="shared" si="2"/>
        <v>1.69</v>
      </c>
      <c r="Q140">
        <v>7.8210861177051325E-2</v>
      </c>
      <c r="R140">
        <v>0.3861483145063378</v>
      </c>
      <c r="S140">
        <v>0.94415134863979344</v>
      </c>
      <c r="T140">
        <v>0.94553528755436667</v>
      </c>
      <c r="U140">
        <v>0.41324585646770295</v>
      </c>
      <c r="V140">
        <v>2.4322258564929564E-2</v>
      </c>
      <c r="W140">
        <v>410</v>
      </c>
      <c r="X140">
        <v>604</v>
      </c>
      <c r="Y140">
        <v>0.75425694840913826</v>
      </c>
      <c r="Z140">
        <v>0.12248068030200014</v>
      </c>
      <c r="AB140">
        <v>27.773851177391542</v>
      </c>
      <c r="AC140">
        <v>24.859161155126131</v>
      </c>
      <c r="AD140">
        <v>60.155863068088593</v>
      </c>
    </row>
    <row r="141" spans="1:30" x14ac:dyDescent="0.3">
      <c r="A141">
        <v>139</v>
      </c>
      <c r="B141" t="s">
        <v>200</v>
      </c>
      <c r="C141" t="s">
        <v>188</v>
      </c>
      <c r="D141" s="7">
        <v>2</v>
      </c>
      <c r="E141" s="7" t="s">
        <v>21</v>
      </c>
      <c r="F141">
        <v>6</v>
      </c>
      <c r="G141" t="s">
        <v>24</v>
      </c>
      <c r="H141" t="s">
        <v>366</v>
      </c>
      <c r="I141" s="13"/>
      <c r="J141">
        <v>1.754</v>
      </c>
      <c r="K141">
        <v>0.215</v>
      </c>
      <c r="L141" s="7">
        <v>3.02</v>
      </c>
      <c r="M141" s="10">
        <v>2.3199999999999998</v>
      </c>
      <c r="N141" s="10">
        <v>4.49</v>
      </c>
      <c r="O141" s="10">
        <v>3.49</v>
      </c>
      <c r="P141">
        <f t="shared" si="2"/>
        <v>3.33</v>
      </c>
      <c r="Q141">
        <v>9.0050884937329878E-2</v>
      </c>
      <c r="R141">
        <v>0.3534492652494986</v>
      </c>
      <c r="S141">
        <v>0.76243968034999188</v>
      </c>
      <c r="T141">
        <v>0.93017005246677442</v>
      </c>
      <c r="U141">
        <v>0.45167291681332028</v>
      </c>
      <c r="V141">
        <v>3.1437647041008487E-2</v>
      </c>
      <c r="W141">
        <v>402</v>
      </c>
      <c r="X141">
        <v>615</v>
      </c>
      <c r="Y141">
        <v>0.72625531763407558</v>
      </c>
      <c r="Z141">
        <v>0.13891067469017601</v>
      </c>
      <c r="AB141">
        <v>32.080372601080413</v>
      </c>
      <c r="AC141">
        <v>28.713720456867893</v>
      </c>
      <c r="AD141">
        <v>63.57193311357095</v>
      </c>
    </row>
    <row r="142" spans="1:30" x14ac:dyDescent="0.3">
      <c r="A142">
        <v>140</v>
      </c>
      <c r="B142" t="s">
        <v>200</v>
      </c>
      <c r="C142" t="s">
        <v>188</v>
      </c>
      <c r="D142" s="7">
        <v>2</v>
      </c>
      <c r="E142" s="7" t="s">
        <v>21</v>
      </c>
      <c r="F142">
        <v>9</v>
      </c>
      <c r="G142" t="s">
        <v>27</v>
      </c>
      <c r="H142" t="s">
        <v>367</v>
      </c>
      <c r="I142" s="13"/>
      <c r="J142">
        <v>1.4850000000000001</v>
      </c>
      <c r="K142">
        <v>0.372</v>
      </c>
      <c r="L142" s="7">
        <v>0.65</v>
      </c>
      <c r="M142" s="10">
        <v>0.75</v>
      </c>
      <c r="N142" s="10">
        <v>0.73</v>
      </c>
      <c r="O142" s="10">
        <v>0.64</v>
      </c>
      <c r="P142">
        <f t="shared" si="2"/>
        <v>0.6925</v>
      </c>
      <c r="Q142">
        <v>5.4959763266831503E-2</v>
      </c>
      <c r="R142">
        <v>0.74797758310571194</v>
      </c>
      <c r="S142">
        <v>1.0511511793422119</v>
      </c>
      <c r="T142">
        <v>0.90465143236358037</v>
      </c>
      <c r="U142">
        <v>0.12611141774967805</v>
      </c>
      <c r="V142">
        <v>4.3518724840462028E-2</v>
      </c>
      <c r="W142">
        <v>522</v>
      </c>
      <c r="X142">
        <v>660</v>
      </c>
      <c r="Y142">
        <v>0.87915536870734767</v>
      </c>
      <c r="Z142">
        <v>5.5934367463675985E-2</v>
      </c>
      <c r="AB142">
        <v>13.449424212073302</v>
      </c>
      <c r="AC142">
        <v>12.037928340345008</v>
      </c>
      <c r="AD142">
        <v>95.454706283925987</v>
      </c>
    </row>
    <row r="143" spans="1:30" x14ac:dyDescent="0.3">
      <c r="A143">
        <v>141</v>
      </c>
      <c r="B143" t="s">
        <v>200</v>
      </c>
      <c r="C143" t="s">
        <v>188</v>
      </c>
      <c r="D143" s="7">
        <v>2</v>
      </c>
      <c r="E143" s="7" t="s">
        <v>21</v>
      </c>
      <c r="F143">
        <v>11</v>
      </c>
      <c r="G143" t="s">
        <v>22</v>
      </c>
      <c r="H143" t="s">
        <v>368</v>
      </c>
      <c r="I143" s="13"/>
      <c r="J143">
        <v>1.6319999999999999</v>
      </c>
      <c r="K143">
        <v>0.59499999999999997</v>
      </c>
      <c r="L143" s="7">
        <v>3.85</v>
      </c>
      <c r="M143" s="10">
        <v>5.54</v>
      </c>
      <c r="N143" s="10">
        <v>3.4</v>
      </c>
      <c r="O143" s="10">
        <v>4.0199999999999996</v>
      </c>
      <c r="P143">
        <f t="shared" si="2"/>
        <v>4.2025000000000006</v>
      </c>
      <c r="Q143">
        <v>5.1247065108825221E-2</v>
      </c>
      <c r="R143">
        <v>0.16619987973669054</v>
      </c>
      <c r="S143">
        <v>0.81327104813866669</v>
      </c>
      <c r="T143">
        <v>1.0084732006282833</v>
      </c>
      <c r="U143">
        <v>0.77936929481009409</v>
      </c>
      <c r="V143">
        <v>-3.6643616723341975E-3</v>
      </c>
      <c r="W143">
        <v>300</v>
      </c>
      <c r="X143">
        <v>561</v>
      </c>
      <c r="Y143">
        <v>0.59374024199843867</v>
      </c>
      <c r="Z143">
        <v>0.22640351485096144</v>
      </c>
      <c r="AB143">
        <v>60.148135552979596</v>
      </c>
      <c r="AC143">
        <v>53.83560492258465</v>
      </c>
      <c r="AD143">
        <v>69.075860803192882</v>
      </c>
    </row>
    <row r="144" spans="1:30" x14ac:dyDescent="0.3">
      <c r="A144">
        <v>142</v>
      </c>
      <c r="B144" t="s">
        <v>200</v>
      </c>
      <c r="C144" t="s">
        <v>188</v>
      </c>
      <c r="D144" s="7">
        <v>2</v>
      </c>
      <c r="E144" s="7" t="s">
        <v>21</v>
      </c>
      <c r="F144">
        <v>13</v>
      </c>
      <c r="G144" t="s">
        <v>29</v>
      </c>
      <c r="H144" t="s">
        <v>369</v>
      </c>
      <c r="I144" s="13"/>
      <c r="J144">
        <v>0.81899999999999995</v>
      </c>
      <c r="K144">
        <v>0.21299999999999999</v>
      </c>
      <c r="L144" s="7">
        <v>2.23</v>
      </c>
      <c r="M144" s="10">
        <v>2.4</v>
      </c>
      <c r="N144" s="10">
        <v>2.83</v>
      </c>
      <c r="O144" s="10">
        <v>2.46</v>
      </c>
      <c r="P144">
        <f t="shared" si="2"/>
        <v>2.48</v>
      </c>
      <c r="Q144">
        <v>7.0595446833585762E-2</v>
      </c>
      <c r="R144">
        <v>0.20253164308572377</v>
      </c>
      <c r="S144">
        <v>0.89216682497956667</v>
      </c>
      <c r="T144">
        <v>0.92553245249008831</v>
      </c>
      <c r="U144">
        <v>0.693507113960808</v>
      </c>
      <c r="V144">
        <v>3.3608348720613038E-2</v>
      </c>
      <c r="W144">
        <v>464</v>
      </c>
      <c r="X144">
        <v>677</v>
      </c>
      <c r="Y144">
        <v>0.76163627251269117</v>
      </c>
      <c r="Z144">
        <v>0.11825238109287342</v>
      </c>
      <c r="AB144">
        <v>26.714885341136878</v>
      </c>
      <c r="AC144">
        <v>23.911329928744145</v>
      </c>
      <c r="AD144">
        <v>34.478853132709808</v>
      </c>
    </row>
    <row r="145" spans="1:30" x14ac:dyDescent="0.3">
      <c r="A145">
        <v>143</v>
      </c>
      <c r="B145" t="s">
        <v>200</v>
      </c>
      <c r="C145" t="s">
        <v>188</v>
      </c>
      <c r="D145" s="7">
        <v>2</v>
      </c>
      <c r="E145" s="7" t="s">
        <v>21</v>
      </c>
      <c r="F145">
        <v>14</v>
      </c>
      <c r="G145" t="s">
        <v>30</v>
      </c>
      <c r="H145" t="s">
        <v>370</v>
      </c>
      <c r="I145" s="13"/>
      <c r="J145">
        <v>0.59899999999999998</v>
      </c>
      <c r="K145">
        <v>8.5999999999999993E-2</v>
      </c>
      <c r="L145" s="7">
        <v>1.75</v>
      </c>
      <c r="M145" s="10">
        <v>1.69</v>
      </c>
      <c r="N145" s="10">
        <v>1.49</v>
      </c>
      <c r="O145" s="10">
        <v>1.93</v>
      </c>
      <c r="P145">
        <f t="shared" si="2"/>
        <v>1.7149999999999999</v>
      </c>
      <c r="Q145">
        <v>6.1146095195160281E-2</v>
      </c>
      <c r="R145">
        <v>0.51202027772218262</v>
      </c>
      <c r="S145">
        <v>0.89100966956454775</v>
      </c>
      <c r="T145">
        <v>0.93291132676778399</v>
      </c>
      <c r="U145">
        <v>0.29071283916388868</v>
      </c>
      <c r="V145">
        <v>3.0159633987249242E-2</v>
      </c>
      <c r="W145">
        <v>528</v>
      </c>
      <c r="X145">
        <v>727</v>
      </c>
      <c r="Y145">
        <v>0.80721145885080303</v>
      </c>
      <c r="Z145">
        <v>9.3012681656737775E-2</v>
      </c>
      <c r="AB145">
        <v>20.813690523095389</v>
      </c>
      <c r="AC145">
        <v>18.629425675828447</v>
      </c>
      <c r="AD145">
        <v>64.081881383044632</v>
      </c>
    </row>
    <row r="146" spans="1:30" x14ac:dyDescent="0.3">
      <c r="A146">
        <v>144</v>
      </c>
      <c r="B146" t="s">
        <v>200</v>
      </c>
      <c r="C146" t="s">
        <v>188</v>
      </c>
      <c r="D146" s="7">
        <v>3</v>
      </c>
      <c r="E146" s="7" t="s">
        <v>21</v>
      </c>
      <c r="F146">
        <v>3</v>
      </c>
      <c r="G146" t="s">
        <v>25</v>
      </c>
      <c r="H146" t="s">
        <v>371</v>
      </c>
      <c r="I146" s="13"/>
      <c r="J146">
        <v>1.1439999999999999</v>
      </c>
      <c r="K146">
        <v>0.13800000000000001</v>
      </c>
      <c r="L146" s="7">
        <v>1.27</v>
      </c>
      <c r="M146" s="10">
        <v>1.03</v>
      </c>
      <c r="N146" s="10">
        <v>1.1100000000000001</v>
      </c>
      <c r="O146" s="10">
        <v>1.1200000000000001</v>
      </c>
      <c r="P146">
        <f t="shared" si="2"/>
        <v>1.1325000000000001</v>
      </c>
      <c r="Q146">
        <v>0.28222490856360172</v>
      </c>
      <c r="R146">
        <v>0.47175196632952926</v>
      </c>
      <c r="S146">
        <v>0.91184589568693486</v>
      </c>
      <c r="T146">
        <v>0.97558455714689496</v>
      </c>
      <c r="U146">
        <v>0.3262862809578706</v>
      </c>
      <c r="V146">
        <v>1.0735082895996409E-2</v>
      </c>
      <c r="W146">
        <v>456</v>
      </c>
      <c r="X146">
        <v>633</v>
      </c>
      <c r="Y146">
        <v>0.80058535657466967</v>
      </c>
      <c r="Z146">
        <v>9.6592357794463263E-2</v>
      </c>
      <c r="AB146">
        <v>21.606854462992533</v>
      </c>
      <c r="AC146">
        <v>19.339354462993537</v>
      </c>
      <c r="AD146">
        <v>59.271123524468976</v>
      </c>
    </row>
    <row r="147" spans="1:30" x14ac:dyDescent="0.3">
      <c r="A147">
        <v>145</v>
      </c>
      <c r="B147" t="s">
        <v>200</v>
      </c>
      <c r="C147" t="s">
        <v>188</v>
      </c>
      <c r="D147" s="7">
        <v>3</v>
      </c>
      <c r="E147" s="7" t="s">
        <v>21</v>
      </c>
      <c r="F147">
        <v>8</v>
      </c>
      <c r="G147" t="s">
        <v>27</v>
      </c>
      <c r="H147" t="s">
        <v>372</v>
      </c>
      <c r="I147" s="13"/>
      <c r="J147">
        <v>0.754</v>
      </c>
      <c r="K147">
        <v>8.5999999999999993E-2</v>
      </c>
      <c r="L147" s="7">
        <v>1.07</v>
      </c>
      <c r="M147" s="10">
        <v>0.85</v>
      </c>
      <c r="N147" s="10">
        <v>0.95</v>
      </c>
      <c r="O147" s="10">
        <v>0.93</v>
      </c>
      <c r="P147">
        <f t="shared" si="2"/>
        <v>0.95000000000000007</v>
      </c>
      <c r="Q147">
        <v>0.19835291553341489</v>
      </c>
      <c r="R147">
        <v>0.57334424254823724</v>
      </c>
      <c r="S147">
        <v>0.94905093374106531</v>
      </c>
      <c r="T147">
        <v>0.93350570606418148</v>
      </c>
      <c r="U147">
        <v>0.24158454426543838</v>
      </c>
      <c r="V147">
        <v>2.9883023076859368E-2</v>
      </c>
      <c r="W147">
        <v>516</v>
      </c>
      <c r="X147">
        <v>683</v>
      </c>
      <c r="Y147">
        <v>0.83972325048475238</v>
      </c>
      <c r="Z147">
        <v>7.5863821784478508E-2</v>
      </c>
      <c r="AB147">
        <v>17.214686748988985</v>
      </c>
      <c r="AC147">
        <v>15.408093844302233</v>
      </c>
      <c r="AD147">
        <v>63.779302981289888</v>
      </c>
    </row>
    <row r="148" spans="1:30" x14ac:dyDescent="0.3">
      <c r="A148">
        <v>146</v>
      </c>
      <c r="B148" t="s">
        <v>200</v>
      </c>
      <c r="C148" t="s">
        <v>188</v>
      </c>
      <c r="D148" s="7">
        <v>3</v>
      </c>
      <c r="E148" s="7" t="s">
        <v>21</v>
      </c>
      <c r="F148">
        <v>6</v>
      </c>
      <c r="G148" t="s">
        <v>22</v>
      </c>
      <c r="H148" t="s">
        <v>373</v>
      </c>
      <c r="I148" s="13"/>
      <c r="J148">
        <v>1.07</v>
      </c>
      <c r="K148">
        <v>0.32800000000000001</v>
      </c>
      <c r="L148" s="7">
        <v>4.43</v>
      </c>
      <c r="M148" s="10">
        <v>3.96</v>
      </c>
      <c r="N148" s="10">
        <v>3.74</v>
      </c>
      <c r="O148" s="10">
        <v>3.61</v>
      </c>
      <c r="P148">
        <f t="shared" si="2"/>
        <v>3.9350000000000001</v>
      </c>
      <c r="Q148">
        <v>6.3966946262508248E-2</v>
      </c>
      <c r="R148">
        <v>0.21046276836920577</v>
      </c>
      <c r="S148">
        <v>0.81574149858828227</v>
      </c>
      <c r="T148">
        <v>0.94773307721036748</v>
      </c>
      <c r="U148">
        <v>0.67682472131022675</v>
      </c>
      <c r="V148">
        <v>2.3313961625634115E-2</v>
      </c>
      <c r="W148">
        <v>332</v>
      </c>
      <c r="X148">
        <v>520</v>
      </c>
      <c r="Y148">
        <v>0.70920854522673915</v>
      </c>
      <c r="Z148">
        <v>0.1492260402419297</v>
      </c>
      <c r="AB148">
        <v>34.9399675264509</v>
      </c>
      <c r="AC148">
        <v>31.273199239165578</v>
      </c>
      <c r="AD148">
        <v>46.205757937779751</v>
      </c>
    </row>
    <row r="149" spans="1:30" x14ac:dyDescent="0.3">
      <c r="A149">
        <v>147</v>
      </c>
      <c r="B149" t="s">
        <v>200</v>
      </c>
      <c r="C149" t="s">
        <v>188</v>
      </c>
      <c r="D149" s="7">
        <v>3</v>
      </c>
      <c r="E149" s="7" t="s">
        <v>21</v>
      </c>
      <c r="F149">
        <v>9</v>
      </c>
      <c r="G149" t="s">
        <v>24</v>
      </c>
      <c r="H149" t="s">
        <v>374</v>
      </c>
      <c r="I149" s="13"/>
      <c r="J149">
        <v>0.89300000000000002</v>
      </c>
      <c r="K149">
        <v>0.28999999999999998</v>
      </c>
      <c r="L149" s="7">
        <v>2.54</v>
      </c>
      <c r="M149" s="10">
        <v>3.77</v>
      </c>
      <c r="N149" s="10">
        <v>3.3</v>
      </c>
      <c r="O149" s="10">
        <v>3.09</v>
      </c>
      <c r="P149">
        <f t="shared" si="2"/>
        <v>3.1749999999999998</v>
      </c>
      <c r="Q149">
        <v>7.9111978504045707E-2</v>
      </c>
      <c r="R149">
        <v>0.36815354842998105</v>
      </c>
      <c r="S149">
        <v>0.86117326823189189</v>
      </c>
      <c r="T149">
        <v>0.96800431910530116</v>
      </c>
      <c r="U149">
        <v>0.43397100924097115</v>
      </c>
      <c r="V149">
        <v>1.4122704923616313E-2</v>
      </c>
      <c r="W149">
        <v>369</v>
      </c>
      <c r="X149">
        <v>605</v>
      </c>
      <c r="Y149">
        <v>0.6775232511851772</v>
      </c>
      <c r="Z149">
        <v>0.16907579611680476</v>
      </c>
      <c r="AB149">
        <v>40.780795293738585</v>
      </c>
      <c r="AC149">
        <v>36.50101540386666</v>
      </c>
      <c r="AD149">
        <v>84.109340547213222</v>
      </c>
    </row>
    <row r="150" spans="1:30" x14ac:dyDescent="0.3">
      <c r="A150">
        <v>148</v>
      </c>
      <c r="B150" t="s">
        <v>200</v>
      </c>
      <c r="C150" t="s">
        <v>188</v>
      </c>
      <c r="D150" s="7">
        <v>3</v>
      </c>
      <c r="E150" s="7" t="s">
        <v>21</v>
      </c>
      <c r="F150">
        <v>13</v>
      </c>
      <c r="G150" t="s">
        <v>26</v>
      </c>
      <c r="H150" t="s">
        <v>375</v>
      </c>
      <c r="I150" s="13"/>
      <c r="J150">
        <v>1.454</v>
      </c>
      <c r="K150">
        <v>0.23799999999999999</v>
      </c>
      <c r="L150" s="7">
        <v>1.75</v>
      </c>
      <c r="M150" s="10">
        <v>1.1499999999999999</v>
      </c>
      <c r="N150" s="10">
        <v>1.97</v>
      </c>
      <c r="O150" s="10">
        <v>1.65</v>
      </c>
      <c r="P150">
        <f t="shared" si="2"/>
        <v>1.63</v>
      </c>
      <c r="Q150">
        <v>8.7206140206194174E-2</v>
      </c>
      <c r="R150">
        <v>0.40945796928699718</v>
      </c>
      <c r="S150">
        <v>0.889404698586441</v>
      </c>
      <c r="T150">
        <v>0.97077812305499811</v>
      </c>
      <c r="U150">
        <v>0.38779067178772331</v>
      </c>
      <c r="V150">
        <v>1.2880019261765041E-2</v>
      </c>
      <c r="W150">
        <v>440</v>
      </c>
      <c r="X150">
        <v>649</v>
      </c>
      <c r="Y150">
        <v>0.75336048708088788</v>
      </c>
      <c r="Z150">
        <v>0.12299716179766255</v>
      </c>
      <c r="AB150">
        <v>27.904586436681132</v>
      </c>
      <c r="AC150">
        <v>24.976176164367761</v>
      </c>
      <c r="AD150">
        <v>64.406335637799259</v>
      </c>
    </row>
    <row r="151" spans="1:30" x14ac:dyDescent="0.3">
      <c r="A151">
        <v>149</v>
      </c>
      <c r="B151" t="s">
        <v>200</v>
      </c>
      <c r="C151" t="s">
        <v>188</v>
      </c>
      <c r="D151" s="7">
        <v>3</v>
      </c>
      <c r="E151" s="7" t="s">
        <v>21</v>
      </c>
      <c r="F151">
        <v>16</v>
      </c>
      <c r="G151" t="s">
        <v>29</v>
      </c>
      <c r="H151" t="s">
        <v>376</v>
      </c>
      <c r="I151" s="13"/>
      <c r="J151">
        <v>0.98399999999999999</v>
      </c>
      <c r="K151">
        <v>0.27800000000000002</v>
      </c>
      <c r="L151" s="7">
        <v>2.65</v>
      </c>
      <c r="M151" s="10">
        <v>2.36</v>
      </c>
      <c r="N151" s="10">
        <v>2.44</v>
      </c>
      <c r="O151" s="10">
        <v>3</v>
      </c>
      <c r="P151">
        <f t="shared" si="2"/>
        <v>2.6124999999999998</v>
      </c>
      <c r="Q151" t="s">
        <v>225</v>
      </c>
      <c r="R151" t="s">
        <v>225</v>
      </c>
      <c r="S151" t="s">
        <v>225</v>
      </c>
      <c r="T151" t="s">
        <v>225</v>
      </c>
      <c r="U151" t="s">
        <v>225</v>
      </c>
      <c r="V151" t="s">
        <v>225</v>
      </c>
      <c r="W151" t="s">
        <v>225</v>
      </c>
      <c r="X151" t="s">
        <v>225</v>
      </c>
      <c r="Y151" t="s">
        <v>225</v>
      </c>
      <c r="Z151" t="s">
        <v>225</v>
      </c>
      <c r="AB151" t="s">
        <v>225</v>
      </c>
      <c r="AC151" t="s">
        <v>225</v>
      </c>
      <c r="AD151" t="s">
        <v>225</v>
      </c>
    </row>
    <row r="152" spans="1:30" x14ac:dyDescent="0.3">
      <c r="A152">
        <v>150</v>
      </c>
      <c r="B152" t="s">
        <v>200</v>
      </c>
      <c r="C152" t="s">
        <v>188</v>
      </c>
      <c r="D152" s="7">
        <v>4</v>
      </c>
      <c r="E152" s="7" t="s">
        <v>21</v>
      </c>
      <c r="F152">
        <v>2</v>
      </c>
      <c r="G152" t="s">
        <v>22</v>
      </c>
      <c r="H152" t="s">
        <v>377</v>
      </c>
      <c r="I152" s="13"/>
      <c r="J152">
        <v>1.849</v>
      </c>
      <c r="K152">
        <v>0.61599999999999999</v>
      </c>
      <c r="L152" s="7">
        <v>4.5199999999999996</v>
      </c>
      <c r="M152" s="10">
        <v>4.16</v>
      </c>
      <c r="N152" s="10">
        <v>4.63</v>
      </c>
      <c r="O152" s="10">
        <v>4.59</v>
      </c>
      <c r="P152">
        <f t="shared" si="2"/>
        <v>4.4749999999999996</v>
      </c>
      <c r="Q152">
        <v>5.7323502828871636E-2</v>
      </c>
      <c r="R152">
        <v>0.20193285388007901</v>
      </c>
      <c r="S152">
        <v>0.83176382660687609</v>
      </c>
      <c r="T152">
        <v>0.98811915749413837</v>
      </c>
      <c r="U152">
        <v>0.69479301687576323</v>
      </c>
      <c r="V152">
        <v>5.1906805927177625E-3</v>
      </c>
      <c r="W152">
        <v>364</v>
      </c>
      <c r="X152">
        <v>596</v>
      </c>
      <c r="Y152">
        <v>0.67842678054828498</v>
      </c>
      <c r="Z152">
        <v>0.1684970168616276</v>
      </c>
      <c r="AB152">
        <v>40.604189732010525</v>
      </c>
      <c r="AC152">
        <v>36.342945335872045</v>
      </c>
      <c r="AD152">
        <v>52.307585789064674</v>
      </c>
    </row>
    <row r="153" spans="1:30" x14ac:dyDescent="0.3">
      <c r="A153">
        <v>151</v>
      </c>
      <c r="B153" t="s">
        <v>200</v>
      </c>
      <c r="C153" t="s">
        <v>188</v>
      </c>
      <c r="D153" s="7">
        <v>4</v>
      </c>
      <c r="E153" s="7" t="s">
        <v>21</v>
      </c>
      <c r="F153">
        <v>3</v>
      </c>
      <c r="G153" t="s">
        <v>29</v>
      </c>
      <c r="H153" t="s">
        <v>378</v>
      </c>
      <c r="I153" s="13"/>
      <c r="J153">
        <v>1.5940000000000001</v>
      </c>
      <c r="K153">
        <v>0.44800000000000001</v>
      </c>
      <c r="L153" s="7">
        <v>3.6</v>
      </c>
      <c r="M153" s="10">
        <v>2.79</v>
      </c>
      <c r="N153" s="10">
        <v>3.34</v>
      </c>
      <c r="O153" s="10">
        <v>2.91</v>
      </c>
      <c r="P153">
        <f t="shared" si="2"/>
        <v>3.16</v>
      </c>
      <c r="Q153">
        <v>0.10551498035662729</v>
      </c>
      <c r="R153">
        <v>0.56551614999495103</v>
      </c>
      <c r="S153">
        <v>0.89535313506877945</v>
      </c>
      <c r="T153">
        <v>0.96112985450893784</v>
      </c>
      <c r="U153">
        <v>0.24755498799133169</v>
      </c>
      <c r="V153">
        <v>1.7217932532443664E-2</v>
      </c>
      <c r="W153">
        <v>443</v>
      </c>
      <c r="X153">
        <v>686</v>
      </c>
      <c r="Y153">
        <v>0.7175381915360376</v>
      </c>
      <c r="Z153">
        <v>0.14415497831252436</v>
      </c>
      <c r="AB153">
        <v>33.519164567600441</v>
      </c>
      <c r="AC153">
        <v>30.001510966254557</v>
      </c>
      <c r="AD153">
        <v>121.19130060633269</v>
      </c>
    </row>
    <row r="154" spans="1:30" x14ac:dyDescent="0.3">
      <c r="A154">
        <v>152</v>
      </c>
      <c r="B154" t="s">
        <v>200</v>
      </c>
      <c r="C154" t="s">
        <v>188</v>
      </c>
      <c r="D154" s="7">
        <v>4</v>
      </c>
      <c r="E154" s="7" t="s">
        <v>21</v>
      </c>
      <c r="F154">
        <v>7</v>
      </c>
      <c r="G154" t="s">
        <v>27</v>
      </c>
      <c r="H154" t="s">
        <v>379</v>
      </c>
      <c r="I154" s="13"/>
      <c r="J154">
        <v>0.497</v>
      </c>
      <c r="K154">
        <v>6.7000000000000004E-2</v>
      </c>
      <c r="L154" s="7">
        <v>1.3</v>
      </c>
      <c r="M154" s="10">
        <v>1.23</v>
      </c>
      <c r="N154" s="10">
        <v>1.27</v>
      </c>
      <c r="O154" s="10">
        <v>1.49</v>
      </c>
      <c r="P154">
        <f t="shared" si="2"/>
        <v>1.3225</v>
      </c>
      <c r="Q154">
        <v>0.18880033943109084</v>
      </c>
      <c r="R154">
        <v>0.64896063483955468</v>
      </c>
      <c r="S154">
        <v>0.90648314164590549</v>
      </c>
      <c r="T154">
        <v>0.90338940969857395</v>
      </c>
      <c r="U154">
        <v>0.18778164617415097</v>
      </c>
      <c r="V154">
        <v>4.4125004915237249E-2</v>
      </c>
      <c r="W154">
        <v>469</v>
      </c>
      <c r="X154">
        <v>683</v>
      </c>
      <c r="Y154">
        <v>0.76308831306187197</v>
      </c>
      <c r="Z154">
        <v>0.11742519775154554</v>
      </c>
      <c r="AB154">
        <v>26.510081114462935</v>
      </c>
      <c r="AC154">
        <v>23.728019056994462</v>
      </c>
      <c r="AD154">
        <v>126.35962853892978</v>
      </c>
    </row>
    <row r="155" spans="1:30" x14ac:dyDescent="0.3">
      <c r="A155">
        <v>153</v>
      </c>
      <c r="B155" t="s">
        <v>200</v>
      </c>
      <c r="C155" t="s">
        <v>188</v>
      </c>
      <c r="D155" s="7">
        <v>4</v>
      </c>
      <c r="E155" s="7" t="s">
        <v>21</v>
      </c>
      <c r="F155">
        <v>11</v>
      </c>
      <c r="G155" t="s">
        <v>25</v>
      </c>
      <c r="H155" t="s">
        <v>380</v>
      </c>
      <c r="I155" s="13"/>
      <c r="J155">
        <v>0.16200000000000001</v>
      </c>
      <c r="K155">
        <v>1.6E-2</v>
      </c>
      <c r="L155" s="7">
        <v>0.79</v>
      </c>
      <c r="M155" s="10">
        <v>0.95</v>
      </c>
      <c r="N155" s="10">
        <v>0.82</v>
      </c>
      <c r="O155" s="10">
        <v>0.99</v>
      </c>
      <c r="P155">
        <f t="shared" si="2"/>
        <v>0.88749999999999996</v>
      </c>
      <c r="Q155">
        <v>0.40050903763808132</v>
      </c>
      <c r="R155">
        <v>0.52629643177996543</v>
      </c>
      <c r="S155">
        <v>0.91334216323388107</v>
      </c>
      <c r="T155">
        <v>0.93985782298363296</v>
      </c>
      <c r="U155">
        <v>0.27876957443175243</v>
      </c>
      <c r="V155">
        <v>2.6937839340506146E-2</v>
      </c>
      <c r="W155">
        <v>460</v>
      </c>
      <c r="X155">
        <v>635</v>
      </c>
      <c r="Y155">
        <v>0.8050757614935099</v>
      </c>
      <c r="Z155">
        <v>9.4163248513662048E-2</v>
      </c>
      <c r="AB155">
        <v>21.0670481652541</v>
      </c>
      <c r="AC155">
        <v>18.856195876023079</v>
      </c>
      <c r="AD155">
        <v>67.640795859662219</v>
      </c>
    </row>
    <row r="156" spans="1:30" x14ac:dyDescent="0.3">
      <c r="A156">
        <v>154</v>
      </c>
      <c r="B156" t="s">
        <v>200</v>
      </c>
      <c r="C156" t="s">
        <v>188</v>
      </c>
      <c r="D156" s="7">
        <v>4</v>
      </c>
      <c r="E156" s="7" t="s">
        <v>21</v>
      </c>
      <c r="F156" s="6">
        <v>10</v>
      </c>
      <c r="G156" t="s">
        <v>24</v>
      </c>
      <c r="H156" t="s">
        <v>381</v>
      </c>
      <c r="I156" s="13"/>
      <c r="J156">
        <v>0.13400000000000001</v>
      </c>
      <c r="K156">
        <v>4.4999999999999998E-2</v>
      </c>
      <c r="L156" s="7">
        <v>2.5099999999999998</v>
      </c>
      <c r="M156" s="10">
        <v>2.2599999999999998</v>
      </c>
      <c r="N156" s="10">
        <v>2.95</v>
      </c>
      <c r="O156" s="10">
        <v>1.61</v>
      </c>
      <c r="P156">
        <f t="shared" si="2"/>
        <v>2.3325</v>
      </c>
      <c r="Q156">
        <v>7.9004935798088136E-2</v>
      </c>
      <c r="R156">
        <v>0.38607163148383983</v>
      </c>
      <c r="S156">
        <v>0.84835089940585762</v>
      </c>
      <c r="T156">
        <v>0.92159634762166043</v>
      </c>
      <c r="U156">
        <v>0.41333210913136154</v>
      </c>
      <c r="V156">
        <v>3.545925506984518E-2</v>
      </c>
      <c r="W156">
        <v>399</v>
      </c>
      <c r="X156">
        <v>601</v>
      </c>
      <c r="Y156">
        <v>0.73764116575591987</v>
      </c>
      <c r="Z156">
        <v>0.13215485447914641</v>
      </c>
      <c r="AB156">
        <v>30.272673313081974</v>
      </c>
      <c r="AC156">
        <v>27.095737685052324</v>
      </c>
      <c r="AD156">
        <v>65.554398234377189</v>
      </c>
    </row>
    <row r="157" spans="1:30" x14ac:dyDescent="0.3">
      <c r="A157">
        <v>155</v>
      </c>
      <c r="B157" t="s">
        <v>200</v>
      </c>
      <c r="C157" t="s">
        <v>188</v>
      </c>
      <c r="D157" s="7">
        <v>4</v>
      </c>
      <c r="E157" s="7" t="s">
        <v>21</v>
      </c>
      <c r="F157">
        <v>9</v>
      </c>
      <c r="G157" t="s">
        <v>23</v>
      </c>
      <c r="H157" t="s">
        <v>382</v>
      </c>
      <c r="I157" s="13"/>
      <c r="J157">
        <v>0.376</v>
      </c>
      <c r="K157">
        <v>7.0000000000000007E-2</v>
      </c>
      <c r="L157" s="7">
        <v>1.46</v>
      </c>
      <c r="M157" s="10">
        <v>1.49</v>
      </c>
      <c r="N157" s="10">
        <v>1.9</v>
      </c>
      <c r="O157" s="10">
        <v>1.92</v>
      </c>
      <c r="P157">
        <f t="shared" si="2"/>
        <v>1.6924999999999999</v>
      </c>
      <c r="Q157">
        <v>7.632695835868876E-2</v>
      </c>
      <c r="R157">
        <v>0.43721725516413579</v>
      </c>
      <c r="S157">
        <v>0.88673595981834152</v>
      </c>
      <c r="T157">
        <v>0.95949577034785649</v>
      </c>
      <c r="U157">
        <v>0.35930270656979268</v>
      </c>
      <c r="V157">
        <v>1.7956935382532613E-2</v>
      </c>
      <c r="W157">
        <v>463</v>
      </c>
      <c r="X157">
        <v>692</v>
      </c>
      <c r="Y157">
        <v>0.74349363004436431</v>
      </c>
      <c r="Z157">
        <v>0.12872274798726355</v>
      </c>
      <c r="AB157">
        <v>29.374068011582043</v>
      </c>
      <c r="AC157">
        <v>26.291439444841277</v>
      </c>
      <c r="AD157">
        <v>73.173507919941883</v>
      </c>
    </row>
    <row r="158" spans="1:30" x14ac:dyDescent="0.3">
      <c r="A158">
        <v>156</v>
      </c>
      <c r="B158" t="s">
        <v>200</v>
      </c>
      <c r="C158" t="s">
        <v>188</v>
      </c>
      <c r="D158" s="7">
        <v>4</v>
      </c>
      <c r="E158" s="7" t="s">
        <v>21</v>
      </c>
      <c r="F158">
        <v>14</v>
      </c>
      <c r="G158" t="s">
        <v>192</v>
      </c>
      <c r="H158" t="s">
        <v>383</v>
      </c>
      <c r="I158" s="13"/>
      <c r="J158">
        <v>0.53400000000000003</v>
      </c>
      <c r="K158">
        <v>9.8000000000000004E-2</v>
      </c>
      <c r="L158" s="7">
        <v>1.1000000000000001</v>
      </c>
      <c r="M158" s="10">
        <v>1.4</v>
      </c>
      <c r="N158" s="10">
        <v>1.4</v>
      </c>
      <c r="O158" s="10">
        <v>1.67</v>
      </c>
      <c r="P158">
        <f t="shared" si="2"/>
        <v>1.3925000000000001</v>
      </c>
      <c r="Q158">
        <v>0.15367837202011472</v>
      </c>
      <c r="R158">
        <v>0.56897870790511862</v>
      </c>
      <c r="S158">
        <v>0.93463151596257577</v>
      </c>
      <c r="T158">
        <v>0.96992738178133087</v>
      </c>
      <c r="U158">
        <v>0.24490398529619858</v>
      </c>
      <c r="V158">
        <v>1.3260780035027011E-2</v>
      </c>
      <c r="W158">
        <v>423</v>
      </c>
      <c r="X158">
        <v>636</v>
      </c>
      <c r="Y158">
        <v>0.73901295124994626</v>
      </c>
      <c r="Z158">
        <v>0.13134795049949241</v>
      </c>
      <c r="AB158">
        <v>30.060210846099778</v>
      </c>
      <c r="AC158">
        <v>26.905572833926389</v>
      </c>
      <c r="AD158">
        <v>109.86171907895049</v>
      </c>
    </row>
    <row r="159" spans="1:30" x14ac:dyDescent="0.3">
      <c r="A159">
        <v>157</v>
      </c>
      <c r="B159" t="s">
        <v>200</v>
      </c>
      <c r="C159" t="s">
        <v>188</v>
      </c>
      <c r="D159" s="7">
        <v>4</v>
      </c>
      <c r="E159" s="7" t="s">
        <v>21</v>
      </c>
      <c r="F159">
        <v>15</v>
      </c>
      <c r="G159" t="s">
        <v>28</v>
      </c>
      <c r="H159" t="s">
        <v>384</v>
      </c>
      <c r="I159" s="13"/>
      <c r="J159">
        <v>0.33900000000000002</v>
      </c>
      <c r="K159">
        <v>7.8E-2</v>
      </c>
      <c r="L159" s="7">
        <v>3.22</v>
      </c>
      <c r="M159" s="10">
        <v>2.84</v>
      </c>
      <c r="N159" s="10">
        <v>3.09</v>
      </c>
      <c r="O159" s="10">
        <v>3.16</v>
      </c>
      <c r="P159">
        <f t="shared" si="2"/>
        <v>3.0775000000000001</v>
      </c>
      <c r="Q159">
        <v>6.1034488679745799E-2</v>
      </c>
      <c r="R159">
        <v>0.670954537422777</v>
      </c>
      <c r="S159">
        <v>0.92916481929630468</v>
      </c>
      <c r="T159">
        <v>0.90677820203491777</v>
      </c>
      <c r="U159">
        <v>0.17330690578528282</v>
      </c>
      <c r="V159">
        <v>4.2498928388634574E-2</v>
      </c>
      <c r="W159">
        <v>464</v>
      </c>
      <c r="X159">
        <v>655</v>
      </c>
      <c r="Y159">
        <v>0.78725706455440259</v>
      </c>
      <c r="Z159">
        <v>0.10388343347550472</v>
      </c>
      <c r="AB159">
        <v>23.26712826129528</v>
      </c>
      <c r="AC159">
        <v>20.825395811468731</v>
      </c>
      <c r="AD159">
        <v>120.16483542363964</v>
      </c>
    </row>
    <row r="160" spans="1:30" x14ac:dyDescent="0.3">
      <c r="A160">
        <v>158</v>
      </c>
      <c r="B160" t="s">
        <v>201</v>
      </c>
      <c r="C160" t="s">
        <v>189</v>
      </c>
      <c r="D160" s="7">
        <v>1</v>
      </c>
      <c r="E160" s="7" t="s">
        <v>21</v>
      </c>
      <c r="F160">
        <v>2</v>
      </c>
      <c r="G160" t="s">
        <v>27</v>
      </c>
      <c r="H160" t="s">
        <v>385</v>
      </c>
      <c r="I160" s="13"/>
      <c r="J160">
        <v>1.3360000000000001</v>
      </c>
      <c r="K160">
        <v>0.308</v>
      </c>
      <c r="L160" s="7">
        <v>1.98</v>
      </c>
      <c r="M160" s="10">
        <v>2.0699999999999998</v>
      </c>
      <c r="N160" s="10">
        <v>1.77</v>
      </c>
      <c r="O160" s="10">
        <v>1.78</v>
      </c>
      <c r="P160">
        <f t="shared" si="2"/>
        <v>1.9000000000000001</v>
      </c>
      <c r="Q160">
        <v>3.0579215838547315E-2</v>
      </c>
      <c r="R160">
        <v>8.2701087020693717E-2</v>
      </c>
      <c r="S160">
        <v>0.77828754629373731</v>
      </c>
      <c r="T160">
        <v>0.85335344506058142</v>
      </c>
      <c r="U160">
        <v>1.08248878205584</v>
      </c>
      <c r="V160">
        <v>6.8871053889173639E-2</v>
      </c>
      <c r="W160">
        <v>558</v>
      </c>
      <c r="X160">
        <v>720</v>
      </c>
      <c r="Y160">
        <v>0.87712758199972263</v>
      </c>
      <c r="Z160">
        <v>5.693723202894671E-2</v>
      </c>
      <c r="AB160">
        <v>13.628176107696509</v>
      </c>
      <c r="AC160">
        <v>12.197924038903114</v>
      </c>
      <c r="AD160">
        <v>11.268406879688003</v>
      </c>
    </row>
    <row r="161" spans="1:30" x14ac:dyDescent="0.3">
      <c r="A161">
        <v>159</v>
      </c>
      <c r="B161" t="s">
        <v>201</v>
      </c>
      <c r="C161" t="s">
        <v>189</v>
      </c>
      <c r="D161" s="7">
        <v>1</v>
      </c>
      <c r="E161" s="7" t="s">
        <v>21</v>
      </c>
      <c r="F161">
        <v>4</v>
      </c>
      <c r="G161" t="s">
        <v>22</v>
      </c>
      <c r="H161" t="s">
        <v>386</v>
      </c>
      <c r="I161" s="13"/>
      <c r="J161">
        <v>2.2770000000000001</v>
      </c>
      <c r="K161">
        <v>0.95599999999999996</v>
      </c>
      <c r="L161" s="7">
        <v>5.41</v>
      </c>
      <c r="M161" s="10">
        <v>4.5999999999999996</v>
      </c>
      <c r="N161" s="10">
        <v>4.96</v>
      </c>
      <c r="O161" s="10">
        <v>5.3</v>
      </c>
      <c r="P161">
        <f t="shared" si="2"/>
        <v>5.0674999999999999</v>
      </c>
      <c r="Q161">
        <v>7.2124573686611126E-2</v>
      </c>
      <c r="R161">
        <v>0.15505823527632201</v>
      </c>
      <c r="S161">
        <v>0.85898737446807827</v>
      </c>
      <c r="T161">
        <v>0.93789624342367417</v>
      </c>
      <c r="U161">
        <v>0.80950516306041498</v>
      </c>
      <c r="V161">
        <v>2.784520362620466E-2</v>
      </c>
      <c r="W161">
        <v>484</v>
      </c>
      <c r="X161">
        <v>694</v>
      </c>
      <c r="Y161">
        <v>0.78891582983654596</v>
      </c>
      <c r="Z161">
        <v>0.10296932960107877</v>
      </c>
      <c r="AB161">
        <v>23.055682916198236</v>
      </c>
      <c r="AC161">
        <v>20.636140121561397</v>
      </c>
      <c r="AD161">
        <v>25.492289689103909</v>
      </c>
    </row>
    <row r="162" spans="1:30" x14ac:dyDescent="0.3">
      <c r="A162">
        <v>160</v>
      </c>
      <c r="B162" t="s">
        <v>201</v>
      </c>
      <c r="C162" t="s">
        <v>189</v>
      </c>
      <c r="D162" s="7">
        <v>1</v>
      </c>
      <c r="E162" s="7" t="s">
        <v>21</v>
      </c>
      <c r="F162">
        <v>8</v>
      </c>
      <c r="G162" t="s">
        <v>24</v>
      </c>
      <c r="H162" t="s">
        <v>387</v>
      </c>
      <c r="I162" s="13"/>
      <c r="J162">
        <v>2.1880000000000002</v>
      </c>
      <c r="K162">
        <v>0.84599999999999997</v>
      </c>
      <c r="L162" s="7">
        <v>5.42</v>
      </c>
      <c r="M162" s="10">
        <v>3.9</v>
      </c>
      <c r="N162" s="10">
        <v>5.67</v>
      </c>
      <c r="O162" s="10">
        <v>3.79</v>
      </c>
      <c r="P162">
        <f t="shared" si="2"/>
        <v>4.6950000000000003</v>
      </c>
      <c r="Q162">
        <v>4.1580842974126994E-2</v>
      </c>
      <c r="R162">
        <v>9.0124811485146561E-2</v>
      </c>
      <c r="S162">
        <v>0.84010354556914191</v>
      </c>
      <c r="T162">
        <v>0.8724173728578517</v>
      </c>
      <c r="U162">
        <v>1.0451556306891163</v>
      </c>
      <c r="V162">
        <v>5.9275694696757301E-2</v>
      </c>
      <c r="W162">
        <v>419</v>
      </c>
      <c r="X162">
        <v>590</v>
      </c>
      <c r="Y162">
        <v>0.80304082953030631</v>
      </c>
      <c r="Z162">
        <v>9.5262373041465703E-2</v>
      </c>
      <c r="AB162">
        <v>21.310474458423574</v>
      </c>
      <c r="AC162">
        <v>19.074076857170994</v>
      </c>
      <c r="AD162">
        <v>18.249987176163064</v>
      </c>
    </row>
    <row r="163" spans="1:30" x14ac:dyDescent="0.3">
      <c r="A163">
        <v>161</v>
      </c>
      <c r="B163" t="s">
        <v>201</v>
      </c>
      <c r="C163" t="s">
        <v>189</v>
      </c>
      <c r="D163" s="7">
        <v>1</v>
      </c>
      <c r="E163" s="7" t="s">
        <v>21</v>
      </c>
      <c r="F163">
        <v>5</v>
      </c>
      <c r="G163" t="s">
        <v>28</v>
      </c>
      <c r="H163" t="s">
        <v>388</v>
      </c>
      <c r="I163" s="13"/>
      <c r="J163">
        <v>1.2949999999999999</v>
      </c>
      <c r="K163">
        <v>0.496</v>
      </c>
      <c r="L163" s="7">
        <v>3.93</v>
      </c>
      <c r="M163" s="10">
        <v>4.12</v>
      </c>
      <c r="N163" s="10">
        <v>3.1</v>
      </c>
      <c r="O163" s="10">
        <v>4.03</v>
      </c>
      <c r="P163">
        <f t="shared" si="2"/>
        <v>3.7949999999999999</v>
      </c>
      <c r="Q163">
        <v>3.8764616649615599E-2</v>
      </c>
      <c r="R163">
        <v>7.5502520642148283E-2</v>
      </c>
      <c r="S163">
        <v>0.73749454386730695</v>
      </c>
      <c r="T163">
        <v>0.88214860029780695</v>
      </c>
      <c r="U163">
        <v>1.1220385492621705</v>
      </c>
      <c r="V163">
        <v>5.4458250635316383E-2</v>
      </c>
      <c r="W163">
        <v>446</v>
      </c>
      <c r="X163">
        <v>619</v>
      </c>
      <c r="Y163">
        <v>0.81491321729198229</v>
      </c>
      <c r="Z163">
        <v>8.8888638202317585E-2</v>
      </c>
      <c r="AB163">
        <v>19.917850242199911</v>
      </c>
      <c r="AC163">
        <v>17.82759458534666</v>
      </c>
      <c r="AD163">
        <v>15.888575839992058</v>
      </c>
    </row>
    <row r="164" spans="1:30" x14ac:dyDescent="0.3">
      <c r="A164">
        <v>162</v>
      </c>
      <c r="B164" t="s">
        <v>201</v>
      </c>
      <c r="C164" t="s">
        <v>189</v>
      </c>
      <c r="D164" s="7">
        <v>1</v>
      </c>
      <c r="E164" s="7" t="s">
        <v>21</v>
      </c>
      <c r="F164">
        <v>10</v>
      </c>
      <c r="G164" t="s">
        <v>23</v>
      </c>
      <c r="H164" t="s">
        <v>389</v>
      </c>
      <c r="I164" s="13"/>
      <c r="J164">
        <v>2.3759999999999999</v>
      </c>
      <c r="K164">
        <v>0.67700000000000005</v>
      </c>
      <c r="L164" s="7">
        <v>1.52</v>
      </c>
      <c r="M164" s="10">
        <v>1.76</v>
      </c>
      <c r="N164" s="10">
        <v>1.81</v>
      </c>
      <c r="O164" s="10">
        <v>2</v>
      </c>
      <c r="P164">
        <f t="shared" si="2"/>
        <v>1.7725</v>
      </c>
      <c r="Q164">
        <v>3.8242575147600738E-2</v>
      </c>
      <c r="R164">
        <v>0.13228976235085144</v>
      </c>
      <c r="S164">
        <v>0.76076500277574144</v>
      </c>
      <c r="T164">
        <v>0.97694810791205966</v>
      </c>
      <c r="U164">
        <v>0.87847376372306663</v>
      </c>
      <c r="V164">
        <v>1.0128503882010146E-2</v>
      </c>
      <c r="W164">
        <v>374</v>
      </c>
      <c r="X164">
        <v>649</v>
      </c>
      <c r="Y164">
        <v>0.65115563133465948</v>
      </c>
      <c r="Z164">
        <v>0.18631519921681744</v>
      </c>
      <c r="AB164">
        <v>46.214600982348372</v>
      </c>
      <c r="AC164">
        <v>41.364514195664462</v>
      </c>
      <c r="AD164">
        <v>47.086795193924956</v>
      </c>
    </row>
    <row r="165" spans="1:30" x14ac:dyDescent="0.3">
      <c r="A165">
        <v>163</v>
      </c>
      <c r="B165" t="s">
        <v>201</v>
      </c>
      <c r="C165" t="s">
        <v>189</v>
      </c>
      <c r="D165" s="7">
        <v>1</v>
      </c>
      <c r="E165" s="7" t="s">
        <v>21</v>
      </c>
      <c r="F165">
        <v>13</v>
      </c>
      <c r="G165" t="s">
        <v>26</v>
      </c>
      <c r="H165" t="s">
        <v>390</v>
      </c>
      <c r="I165" s="13"/>
      <c r="J165">
        <v>6.52</v>
      </c>
      <c r="K165">
        <v>1.956</v>
      </c>
      <c r="L165" s="7">
        <v>1.55</v>
      </c>
      <c r="M165" s="10">
        <v>1.9</v>
      </c>
      <c r="N165" s="10">
        <v>2.21</v>
      </c>
      <c r="O165" s="10">
        <v>2.0299999999999998</v>
      </c>
      <c r="P165">
        <f t="shared" si="2"/>
        <v>1.9224999999999999</v>
      </c>
      <c r="Q165">
        <v>3.88603797282316E-2</v>
      </c>
      <c r="R165">
        <v>6.5258144228715842E-2</v>
      </c>
      <c r="S165">
        <v>0.67993707946599913</v>
      </c>
      <c r="T165">
        <v>1.0377426051933563</v>
      </c>
      <c r="U165">
        <v>1.1853652805740074</v>
      </c>
      <c r="V165">
        <v>-1.6089647340691928E-2</v>
      </c>
      <c r="W165">
        <v>317</v>
      </c>
      <c r="X165">
        <v>552</v>
      </c>
      <c r="Y165">
        <v>0.64844899531658318</v>
      </c>
      <c r="Z165">
        <v>0.18812417829030617</v>
      </c>
      <c r="AB165">
        <v>46.804244693448624</v>
      </c>
      <c r="AC165">
        <v>41.892270977961331</v>
      </c>
      <c r="AD165">
        <v>35.341233343425749</v>
      </c>
    </row>
    <row r="166" spans="1:30" x14ac:dyDescent="0.3">
      <c r="A166">
        <v>164</v>
      </c>
      <c r="B166" t="s">
        <v>201</v>
      </c>
      <c r="C166" t="s">
        <v>189</v>
      </c>
      <c r="D166" s="7">
        <v>1</v>
      </c>
      <c r="E166" s="7" t="s">
        <v>21</v>
      </c>
      <c r="F166">
        <v>14</v>
      </c>
      <c r="G166" t="s">
        <v>25</v>
      </c>
      <c r="H166" t="s">
        <v>391</v>
      </c>
      <c r="I166" s="13"/>
      <c r="J166">
        <v>1.6060000000000001</v>
      </c>
      <c r="K166">
        <v>0.313</v>
      </c>
      <c r="L166" s="7">
        <v>1.04</v>
      </c>
      <c r="M166" s="10">
        <v>0.93</v>
      </c>
      <c r="N166" s="10">
        <v>0.98</v>
      </c>
      <c r="O166" s="10">
        <v>0.82</v>
      </c>
      <c r="P166">
        <f t="shared" si="2"/>
        <v>0.9425</v>
      </c>
      <c r="Q166">
        <v>8.2093101051309153E-2</v>
      </c>
      <c r="R166">
        <v>0.20603230209128601</v>
      </c>
      <c r="S166">
        <v>0.88541011622487409</v>
      </c>
      <c r="T166">
        <v>0.95057116036573752</v>
      </c>
      <c r="U166">
        <v>0.68606468487246486</v>
      </c>
      <c r="V166">
        <v>2.2015366018555135E-2</v>
      </c>
      <c r="W166">
        <v>499</v>
      </c>
      <c r="X166">
        <v>712</v>
      </c>
      <c r="Y166">
        <v>0.79287304721925467</v>
      </c>
      <c r="Z166">
        <v>0.10079634522455576</v>
      </c>
      <c r="AB166">
        <v>22.556828695317062</v>
      </c>
      <c r="AC166">
        <v>20.189636853383355</v>
      </c>
      <c r="AD166">
        <v>29.428182645979632</v>
      </c>
    </row>
    <row r="167" spans="1:30" x14ac:dyDescent="0.3">
      <c r="A167">
        <v>165</v>
      </c>
      <c r="B167" t="s">
        <v>201</v>
      </c>
      <c r="C167" t="s">
        <v>189</v>
      </c>
      <c r="D167" s="7">
        <v>1</v>
      </c>
      <c r="E167" s="7" t="s">
        <v>21</v>
      </c>
      <c r="F167">
        <v>16</v>
      </c>
      <c r="G167" t="s">
        <v>192</v>
      </c>
      <c r="H167" t="s">
        <v>392</v>
      </c>
      <c r="I167" s="13"/>
      <c r="J167">
        <v>3.3140000000000001</v>
      </c>
      <c r="K167">
        <v>0.73799999999999999</v>
      </c>
      <c r="L167" s="7">
        <v>1.72</v>
      </c>
      <c r="M167" s="10">
        <v>1.45</v>
      </c>
      <c r="N167" s="10">
        <v>1.39</v>
      </c>
      <c r="O167" s="10">
        <v>1.5</v>
      </c>
      <c r="P167">
        <f t="shared" si="2"/>
        <v>1.5149999999999999</v>
      </c>
      <c r="Q167">
        <v>2.8425235735306757E-2</v>
      </c>
      <c r="R167">
        <v>0.22021568520626583</v>
      </c>
      <c r="S167">
        <v>0.86607742518063091</v>
      </c>
      <c r="T167">
        <v>0.94795268541605493</v>
      </c>
      <c r="U167">
        <v>0.65715175095951961</v>
      </c>
      <c r="V167">
        <v>2.3213338796452498E-2</v>
      </c>
      <c r="W167">
        <v>445</v>
      </c>
      <c r="X167">
        <v>630</v>
      </c>
      <c r="Y167">
        <v>0.79885866007424611</v>
      </c>
      <c r="Z167">
        <v>9.7530052450320939E-2</v>
      </c>
      <c r="AB167">
        <v>21.817015528306765</v>
      </c>
      <c r="AC167">
        <v>19.527460967848832</v>
      </c>
      <c r="AD167">
        <v>29.715299303907234</v>
      </c>
    </row>
    <row r="168" spans="1:30" x14ac:dyDescent="0.3">
      <c r="A168">
        <v>166</v>
      </c>
      <c r="B168" t="s">
        <v>201</v>
      </c>
      <c r="C168" t="s">
        <v>189</v>
      </c>
      <c r="D168" s="7">
        <v>2</v>
      </c>
      <c r="E168" s="7" t="s">
        <v>21</v>
      </c>
      <c r="F168">
        <v>8</v>
      </c>
      <c r="G168" t="s">
        <v>24</v>
      </c>
      <c r="H168" t="s">
        <v>393</v>
      </c>
      <c r="I168" s="13"/>
      <c r="J168">
        <v>1.508</v>
      </c>
      <c r="K168">
        <v>0.54</v>
      </c>
      <c r="L168" s="7">
        <v>3.41</v>
      </c>
      <c r="M168" s="10">
        <v>4.22</v>
      </c>
      <c r="N168" s="10">
        <v>4.78</v>
      </c>
      <c r="O168" s="10">
        <v>3.75</v>
      </c>
      <c r="P168">
        <f t="shared" si="2"/>
        <v>4.04</v>
      </c>
      <c r="Q168">
        <v>3.5220380845995471E-2</v>
      </c>
      <c r="R168">
        <v>0.14151138114438147</v>
      </c>
      <c r="S168">
        <v>0.80334935520779804</v>
      </c>
      <c r="T168">
        <v>0.8180526631417987</v>
      </c>
      <c r="U168">
        <v>0.84920863032036498</v>
      </c>
      <c r="V168">
        <v>8.7218737189700593E-2</v>
      </c>
      <c r="W168">
        <v>527</v>
      </c>
      <c r="X168">
        <v>691</v>
      </c>
      <c r="Y168">
        <v>0.86303235850105642</v>
      </c>
      <c r="Z168">
        <v>6.3972920559420027E-2</v>
      </c>
      <c r="AB168">
        <v>14.914165189933078</v>
      </c>
      <c r="AC168">
        <v>13.348974047946379</v>
      </c>
      <c r="AD168">
        <v>15.719310392442035</v>
      </c>
    </row>
    <row r="169" spans="1:30" x14ac:dyDescent="0.3">
      <c r="A169">
        <v>167</v>
      </c>
      <c r="B169" t="s">
        <v>201</v>
      </c>
      <c r="C169" t="s">
        <v>189</v>
      </c>
      <c r="D169" s="7">
        <v>2</v>
      </c>
      <c r="E169" s="7" t="s">
        <v>21</v>
      </c>
      <c r="F169">
        <v>7</v>
      </c>
      <c r="G169" t="s">
        <v>22</v>
      </c>
      <c r="H169" t="s">
        <v>394</v>
      </c>
      <c r="I169" s="13"/>
      <c r="J169">
        <v>2.04</v>
      </c>
      <c r="K169">
        <v>0.89700000000000002</v>
      </c>
      <c r="L169" s="7">
        <v>4.66</v>
      </c>
      <c r="M169" s="10">
        <v>4.9400000000000004</v>
      </c>
      <c r="N169" s="10">
        <v>5.99</v>
      </c>
      <c r="O169" s="10">
        <v>6.16</v>
      </c>
      <c r="P169">
        <f t="shared" si="2"/>
        <v>5.4375</v>
      </c>
      <c r="Q169">
        <v>3.6096084675398633E-2</v>
      </c>
      <c r="R169">
        <v>7.5891708892881007E-2</v>
      </c>
      <c r="S169">
        <v>0.84423327755596111</v>
      </c>
      <c r="T169">
        <v>0.8063380920122698</v>
      </c>
      <c r="U169">
        <v>1.1198056678298784</v>
      </c>
      <c r="V169">
        <v>9.3482823321108563E-2</v>
      </c>
      <c r="W169">
        <v>539</v>
      </c>
      <c r="X169">
        <v>688</v>
      </c>
      <c r="Y169">
        <v>0.88661365438523998</v>
      </c>
      <c r="Z169">
        <v>5.226558458811642E-2</v>
      </c>
      <c r="AB169">
        <v>12.805174422280562</v>
      </c>
      <c r="AC169">
        <v>11.461278224189174</v>
      </c>
      <c r="AD169">
        <v>10.235060022870305</v>
      </c>
    </row>
    <row r="170" spans="1:30" x14ac:dyDescent="0.3">
      <c r="A170">
        <v>168</v>
      </c>
      <c r="B170" t="s">
        <v>201</v>
      </c>
      <c r="C170" t="s">
        <v>189</v>
      </c>
      <c r="D170" s="7">
        <v>2</v>
      </c>
      <c r="E170" s="7" t="s">
        <v>21</v>
      </c>
      <c r="F170">
        <v>11</v>
      </c>
      <c r="G170" t="s">
        <v>23</v>
      </c>
      <c r="H170" t="s">
        <v>395</v>
      </c>
      <c r="I170" s="13"/>
      <c r="J170">
        <v>2.5350000000000001</v>
      </c>
      <c r="K170">
        <v>0.76300000000000001</v>
      </c>
      <c r="L170" s="7">
        <v>3.16</v>
      </c>
      <c r="M170" s="10">
        <v>1.8</v>
      </c>
      <c r="N170" s="10">
        <v>4.79</v>
      </c>
      <c r="O170" s="10">
        <v>2.25</v>
      </c>
      <c r="P170">
        <f t="shared" si="2"/>
        <v>3</v>
      </c>
      <c r="Q170">
        <v>3.5354556473501518E-2</v>
      </c>
      <c r="R170">
        <v>8.0050548522054857E-2</v>
      </c>
      <c r="S170">
        <v>0.67932043639334738</v>
      </c>
      <c r="T170">
        <v>0.89485262252080933</v>
      </c>
      <c r="U170">
        <v>1.096635687863539</v>
      </c>
      <c r="V170">
        <v>4.8248484791731105E-2</v>
      </c>
      <c r="W170">
        <v>422</v>
      </c>
      <c r="X170">
        <v>654</v>
      </c>
      <c r="Y170">
        <v>0.7295464960070186</v>
      </c>
      <c r="Z170">
        <v>0.13694702410529505</v>
      </c>
      <c r="AB170">
        <v>31.549631589444029</v>
      </c>
      <c r="AC170">
        <v>28.238680484239374</v>
      </c>
      <c r="AD170">
        <v>25.750284070413439</v>
      </c>
    </row>
    <row r="171" spans="1:30" x14ac:dyDescent="0.3">
      <c r="A171">
        <v>169</v>
      </c>
      <c r="B171" t="s">
        <v>201</v>
      </c>
      <c r="C171" t="s">
        <v>189</v>
      </c>
      <c r="D171" s="7">
        <v>2</v>
      </c>
      <c r="E171" s="7" t="s">
        <v>21</v>
      </c>
      <c r="F171">
        <v>16</v>
      </c>
      <c r="G171" t="s">
        <v>26</v>
      </c>
      <c r="H171" t="s">
        <v>396</v>
      </c>
      <c r="I171" s="13"/>
      <c r="J171">
        <v>1.976</v>
      </c>
      <c r="K171">
        <v>0.52800000000000002</v>
      </c>
      <c r="L171" s="7">
        <v>1.28</v>
      </c>
      <c r="M171" s="10">
        <v>1.19</v>
      </c>
      <c r="N171" s="10">
        <v>1.23</v>
      </c>
      <c r="O171" s="10">
        <v>1.54</v>
      </c>
      <c r="P171">
        <f t="shared" si="2"/>
        <v>1.31</v>
      </c>
      <c r="Q171">
        <v>2.6736508934533318E-2</v>
      </c>
      <c r="R171">
        <v>7.9839152803865304E-2</v>
      </c>
      <c r="S171">
        <v>0.69226368206788746</v>
      </c>
      <c r="T171">
        <v>1.0292231681351469</v>
      </c>
      <c r="U171">
        <v>1.097784080119464</v>
      </c>
      <c r="V171">
        <v>-1.2509553752846849E-2</v>
      </c>
      <c r="W171">
        <v>366</v>
      </c>
      <c r="X171">
        <v>650</v>
      </c>
      <c r="Y171">
        <v>0.63617053976410687</v>
      </c>
      <c r="Z171">
        <v>0.19642644637943488</v>
      </c>
      <c r="AB171">
        <v>49.55780716468638</v>
      </c>
      <c r="AC171">
        <v>44.356827631344608</v>
      </c>
      <c r="AD171">
        <v>40.405785103494644</v>
      </c>
    </row>
    <row r="172" spans="1:30" x14ac:dyDescent="0.3">
      <c r="A172">
        <v>170</v>
      </c>
      <c r="B172" t="s">
        <v>201</v>
      </c>
      <c r="C172" t="s">
        <v>189</v>
      </c>
      <c r="D172" s="7">
        <v>2</v>
      </c>
      <c r="E172" s="7" t="s">
        <v>21</v>
      </c>
      <c r="F172">
        <v>14</v>
      </c>
      <c r="G172" t="s">
        <v>27</v>
      </c>
      <c r="H172" t="s">
        <v>397</v>
      </c>
      <c r="I172" s="13"/>
      <c r="J172">
        <v>1.8879999999999999</v>
      </c>
      <c r="K172">
        <v>0.443</v>
      </c>
      <c r="L172" s="7">
        <v>2.06</v>
      </c>
      <c r="M172" s="10">
        <v>2.13</v>
      </c>
      <c r="N172" s="10">
        <v>2.0699999999999998</v>
      </c>
      <c r="O172" s="10">
        <v>1.95</v>
      </c>
      <c r="P172">
        <f t="shared" si="2"/>
        <v>2.0524999999999998</v>
      </c>
      <c r="Q172">
        <v>3.1975527064051754E-2</v>
      </c>
      <c r="R172">
        <v>9.2510698808111663E-2</v>
      </c>
      <c r="S172">
        <v>0.70540072429538658</v>
      </c>
      <c r="T172">
        <v>0.89422195569968532</v>
      </c>
      <c r="U172">
        <v>1.0338080384540826</v>
      </c>
      <c r="V172">
        <v>4.8554671168769749E-2</v>
      </c>
      <c r="W172">
        <v>455</v>
      </c>
      <c r="X172">
        <v>674</v>
      </c>
      <c r="Y172">
        <v>0.76348411320080722</v>
      </c>
      <c r="Z172">
        <v>0.11719999543926655</v>
      </c>
      <c r="AB172">
        <v>26.454456594271083</v>
      </c>
      <c r="AC172">
        <v>23.678232093785716</v>
      </c>
      <c r="AD172">
        <v>22.903896287354513</v>
      </c>
    </row>
    <row r="173" spans="1:30" x14ac:dyDescent="0.3">
      <c r="A173">
        <v>171</v>
      </c>
      <c r="B173" t="s">
        <v>201</v>
      </c>
      <c r="C173" t="s">
        <v>189</v>
      </c>
      <c r="D173" s="7">
        <v>3</v>
      </c>
      <c r="E173" s="7" t="s">
        <v>21</v>
      </c>
      <c r="F173">
        <v>1</v>
      </c>
      <c r="G173" t="s">
        <v>27</v>
      </c>
      <c r="H173" t="s">
        <v>398</v>
      </c>
      <c r="I173" s="13"/>
      <c r="J173">
        <v>1.74</v>
      </c>
      <c r="K173">
        <v>0.35299999999999998</v>
      </c>
      <c r="L173" s="7">
        <v>1.17</v>
      </c>
      <c r="M173" s="10">
        <v>1.34</v>
      </c>
      <c r="N173" s="10">
        <v>1.72</v>
      </c>
      <c r="O173" s="10">
        <v>1.74</v>
      </c>
      <c r="P173">
        <f t="shared" si="2"/>
        <v>1.4924999999999999</v>
      </c>
      <c r="Q173">
        <v>2.4622505017676988E-2</v>
      </c>
      <c r="R173">
        <v>0.12358095414528843</v>
      </c>
      <c r="S173">
        <v>0.77323299574375615</v>
      </c>
      <c r="T173">
        <v>0.89663031001075366</v>
      </c>
      <c r="U173">
        <v>0.9080484560025377</v>
      </c>
      <c r="V173">
        <v>4.7386584176536434E-2</v>
      </c>
      <c r="W173">
        <v>487</v>
      </c>
      <c r="X173">
        <v>687</v>
      </c>
      <c r="Y173">
        <v>0.80192636060635436</v>
      </c>
      <c r="Z173">
        <v>9.5865510332609635E-2</v>
      </c>
      <c r="AB173">
        <v>21.444632818118933</v>
      </c>
      <c r="AC173">
        <v>19.194156523529095</v>
      </c>
      <c r="AD173">
        <v>21.137810869726817</v>
      </c>
    </row>
    <row r="174" spans="1:30" x14ac:dyDescent="0.3">
      <c r="A174">
        <v>172</v>
      </c>
      <c r="B174" t="s">
        <v>201</v>
      </c>
      <c r="C174" t="s">
        <v>189</v>
      </c>
      <c r="D174" s="7">
        <v>3</v>
      </c>
      <c r="E174" s="7" t="s">
        <v>21</v>
      </c>
      <c r="F174">
        <v>8</v>
      </c>
      <c r="G174" t="s">
        <v>30</v>
      </c>
      <c r="H174" t="s">
        <v>399</v>
      </c>
      <c r="I174" s="13"/>
      <c r="J174">
        <v>2.1890000000000001</v>
      </c>
      <c r="K174">
        <v>0.72499999999999998</v>
      </c>
      <c r="L174" s="7">
        <v>2.39</v>
      </c>
      <c r="M174" s="10">
        <v>3.6</v>
      </c>
      <c r="N174" s="10">
        <v>2.54</v>
      </c>
      <c r="O174" s="10">
        <v>3.02</v>
      </c>
      <c r="P174">
        <f t="shared" si="2"/>
        <v>2.8875000000000002</v>
      </c>
      <c r="Q174">
        <v>3.163843566428013E-2</v>
      </c>
      <c r="R174">
        <v>9.7686037796864925E-2</v>
      </c>
      <c r="S174">
        <v>0.78115087228800928</v>
      </c>
      <c r="T174">
        <v>1.0336869049788944</v>
      </c>
      <c r="U174">
        <v>1.0101675052791499</v>
      </c>
      <c r="V174">
        <v>-1.4389014550182789E-2</v>
      </c>
      <c r="W174">
        <v>398</v>
      </c>
      <c r="X174">
        <v>654</v>
      </c>
      <c r="Y174">
        <v>0.68785812480661757</v>
      </c>
      <c r="Z174">
        <v>0.16250112857768317</v>
      </c>
      <c r="AB174">
        <v>38.796898722240584</v>
      </c>
      <c r="AC174">
        <v>34.725336292362378</v>
      </c>
      <c r="AD174">
        <v>34.375819961429436</v>
      </c>
    </row>
    <row r="175" spans="1:30" x14ac:dyDescent="0.3">
      <c r="A175">
        <v>173</v>
      </c>
      <c r="B175" t="s">
        <v>201</v>
      </c>
      <c r="C175" t="s">
        <v>189</v>
      </c>
      <c r="D175" s="7">
        <v>3</v>
      </c>
      <c r="E175" s="7" t="s">
        <v>21</v>
      </c>
      <c r="F175">
        <v>10</v>
      </c>
      <c r="G175" t="s">
        <v>24</v>
      </c>
      <c r="H175" t="s">
        <v>400</v>
      </c>
      <c r="I175" s="13"/>
      <c r="J175">
        <v>1.5129999999999999</v>
      </c>
      <c r="K175">
        <v>0.70199999999999996</v>
      </c>
      <c r="L175" s="7">
        <v>4.18</v>
      </c>
      <c r="M175" s="10">
        <v>3.96</v>
      </c>
      <c r="N175" s="10">
        <v>3.91</v>
      </c>
      <c r="O175" s="10">
        <v>3.55</v>
      </c>
      <c r="P175">
        <f t="shared" si="2"/>
        <v>3.9000000000000004</v>
      </c>
      <c r="Q175">
        <v>3.695603361670035E-2</v>
      </c>
      <c r="R175">
        <v>6.2956715794794935E-2</v>
      </c>
      <c r="S175">
        <v>0.79459193919248716</v>
      </c>
      <c r="T175">
        <v>0.96502437680005049</v>
      </c>
      <c r="U175">
        <v>1.2009579354996893</v>
      </c>
      <c r="V175">
        <v>1.5461716111092871E-2</v>
      </c>
      <c r="W175">
        <v>366</v>
      </c>
      <c r="X175">
        <v>626</v>
      </c>
      <c r="Y175">
        <v>0.66059948849104866</v>
      </c>
      <c r="Z175">
        <v>0.1800617669231408</v>
      </c>
      <c r="AB175">
        <v>44.204742496614145</v>
      </c>
      <c r="AC175">
        <v>39.565602427579655</v>
      </c>
      <c r="AD175">
        <v>32.94503600670857</v>
      </c>
    </row>
    <row r="176" spans="1:30" x14ac:dyDescent="0.3">
      <c r="A176">
        <v>174</v>
      </c>
      <c r="B176" t="s">
        <v>201</v>
      </c>
      <c r="C176" t="s">
        <v>189</v>
      </c>
      <c r="D176" s="7">
        <v>3</v>
      </c>
      <c r="E176" s="7" t="s">
        <v>21</v>
      </c>
      <c r="F176">
        <v>14</v>
      </c>
      <c r="G176" t="s">
        <v>22</v>
      </c>
      <c r="H176" t="s">
        <v>401</v>
      </c>
      <c r="I176" s="13"/>
      <c r="J176">
        <v>2.794</v>
      </c>
      <c r="K176">
        <v>1.03</v>
      </c>
      <c r="L176" s="7">
        <v>6.14</v>
      </c>
      <c r="M176" s="10">
        <v>6.14</v>
      </c>
      <c r="N176" s="10">
        <v>4.5</v>
      </c>
      <c r="O176" s="10">
        <v>4.4400000000000004</v>
      </c>
      <c r="P176">
        <f t="shared" si="2"/>
        <v>5.3050000000000006</v>
      </c>
      <c r="Q176">
        <v>3.955573127511796E-2</v>
      </c>
      <c r="R176">
        <v>0.15986503095148744</v>
      </c>
      <c r="S176">
        <v>0.79530371729660887</v>
      </c>
      <c r="T176">
        <v>0.91655115663429909</v>
      </c>
      <c r="U176">
        <v>0.7962465239065537</v>
      </c>
      <c r="V176">
        <v>3.784329019553076E-2</v>
      </c>
      <c r="W176">
        <v>388</v>
      </c>
      <c r="X176">
        <v>617</v>
      </c>
      <c r="Y176">
        <v>0.71076078652804997</v>
      </c>
      <c r="Z176">
        <v>0.1482765407207921</v>
      </c>
      <c r="AB176">
        <v>34.671728106301046</v>
      </c>
      <c r="AC176">
        <v>31.033111899690006</v>
      </c>
      <c r="AD176">
        <v>38.97425102396052</v>
      </c>
    </row>
    <row r="177" spans="1:30" x14ac:dyDescent="0.3">
      <c r="A177">
        <v>175</v>
      </c>
      <c r="B177" t="s">
        <v>201</v>
      </c>
      <c r="C177" t="s">
        <v>189</v>
      </c>
      <c r="D177" s="7">
        <v>3</v>
      </c>
      <c r="E177" s="7" t="s">
        <v>21</v>
      </c>
      <c r="F177">
        <v>16</v>
      </c>
      <c r="G177" t="s">
        <v>29</v>
      </c>
      <c r="H177" t="s">
        <v>402</v>
      </c>
      <c r="I177" s="13"/>
      <c r="J177">
        <v>2.9390000000000001</v>
      </c>
      <c r="K177">
        <v>0.95499999999999996</v>
      </c>
      <c r="L177" s="7">
        <v>3.13</v>
      </c>
      <c r="M177" s="10">
        <v>3.17</v>
      </c>
      <c r="N177" s="10">
        <v>3.56</v>
      </c>
      <c r="O177" s="10">
        <v>4.3600000000000003</v>
      </c>
      <c r="P177">
        <f t="shared" si="2"/>
        <v>3.5549999999999997</v>
      </c>
      <c r="Q177">
        <v>4.7114082193172577E-2</v>
      </c>
      <c r="R177">
        <v>0.23394017550240703</v>
      </c>
      <c r="S177">
        <v>0.78820560315460297</v>
      </c>
      <c r="T177">
        <v>0.82861729266082951</v>
      </c>
      <c r="U177">
        <v>0.63089518861962335</v>
      </c>
      <c r="V177">
        <v>8.1646007522386155E-2</v>
      </c>
      <c r="W177">
        <v>575</v>
      </c>
      <c r="X177">
        <v>713</v>
      </c>
      <c r="Y177">
        <v>0.91283334291215268</v>
      </c>
      <c r="Z177">
        <v>3.9608504897587993E-2</v>
      </c>
      <c r="AB177">
        <v>10.699243956669072</v>
      </c>
      <c r="AC177">
        <v>9.576311009045142</v>
      </c>
      <c r="AD177">
        <v>15.178925409144071</v>
      </c>
    </row>
    <row r="178" spans="1:30" x14ac:dyDescent="0.3">
      <c r="A178">
        <v>176</v>
      </c>
      <c r="B178" t="s">
        <v>201</v>
      </c>
      <c r="C178" t="s">
        <v>189</v>
      </c>
      <c r="D178" s="7">
        <v>4</v>
      </c>
      <c r="E178" s="7" t="s">
        <v>21</v>
      </c>
      <c r="F178">
        <v>1</v>
      </c>
      <c r="G178" t="s">
        <v>27</v>
      </c>
      <c r="H178" t="s">
        <v>403</v>
      </c>
      <c r="I178" s="13"/>
      <c r="J178">
        <v>1.46</v>
      </c>
      <c r="K178">
        <v>0.316</v>
      </c>
      <c r="L178" s="7">
        <v>1.42</v>
      </c>
      <c r="M178" s="10">
        <v>1.56</v>
      </c>
      <c r="N178" s="10">
        <v>1.88</v>
      </c>
      <c r="O178" s="10">
        <v>1.6</v>
      </c>
      <c r="P178">
        <f t="shared" si="2"/>
        <v>1.6149999999999998</v>
      </c>
      <c r="Q178">
        <v>3.3666540514554498E-2</v>
      </c>
      <c r="R178">
        <v>0.12610641802410094</v>
      </c>
      <c r="S178">
        <v>0.77120803441187558</v>
      </c>
      <c r="T178">
        <v>0.87785471804899007</v>
      </c>
      <c r="U178">
        <v>0.89926281000485486</v>
      </c>
      <c r="V178">
        <v>5.657735239728174E-2</v>
      </c>
      <c r="W178">
        <v>506</v>
      </c>
      <c r="X178">
        <v>709</v>
      </c>
      <c r="Y178">
        <v>0.80744722354675103</v>
      </c>
      <c r="Z178">
        <v>9.2885854472365345E-2</v>
      </c>
      <c r="AB178">
        <v>20.785854355534944</v>
      </c>
      <c r="AC178">
        <v>18.604510641143239</v>
      </c>
      <c r="AD178">
        <v>20.688624542410242</v>
      </c>
    </row>
    <row r="179" spans="1:30" x14ac:dyDescent="0.3">
      <c r="A179">
        <v>177</v>
      </c>
      <c r="B179" t="s">
        <v>201</v>
      </c>
      <c r="C179" t="s">
        <v>189</v>
      </c>
      <c r="D179" s="7">
        <v>4</v>
      </c>
      <c r="E179" s="7" t="s">
        <v>21</v>
      </c>
      <c r="F179">
        <v>4</v>
      </c>
      <c r="G179" t="s">
        <v>30</v>
      </c>
      <c r="H179" t="s">
        <v>404</v>
      </c>
      <c r="I179" s="13"/>
      <c r="J179">
        <v>1.698</v>
      </c>
      <c r="K179">
        <v>0.55700000000000005</v>
      </c>
      <c r="L179" s="7">
        <v>3.01</v>
      </c>
      <c r="M179" s="10">
        <v>2.89</v>
      </c>
      <c r="N179" s="10">
        <v>2.79</v>
      </c>
      <c r="O179" s="10">
        <v>2.52</v>
      </c>
      <c r="P179">
        <f t="shared" si="2"/>
        <v>2.8025000000000002</v>
      </c>
      <c r="Q179">
        <v>3.4453335434328831E-2</v>
      </c>
      <c r="R179">
        <v>5.688228031158158E-2</v>
      </c>
      <c r="S179">
        <v>0.70199287763283569</v>
      </c>
      <c r="T179">
        <v>0.94865316259722532</v>
      </c>
      <c r="U179">
        <v>1.2450230018196684</v>
      </c>
      <c r="V179">
        <v>2.2892541105532894E-2</v>
      </c>
      <c r="W179">
        <v>399</v>
      </c>
      <c r="X179">
        <v>641</v>
      </c>
      <c r="Y179">
        <v>0.70360254156010238</v>
      </c>
      <c r="Z179">
        <v>0.15267260044889366</v>
      </c>
      <c r="AB179">
        <v>35.922198090825077</v>
      </c>
      <c r="AC179">
        <v>32.152343079864053</v>
      </c>
      <c r="AD179">
        <v>25.824698044029439</v>
      </c>
    </row>
    <row r="180" spans="1:30" x14ac:dyDescent="0.3">
      <c r="A180">
        <v>178</v>
      </c>
      <c r="B180" t="s">
        <v>201</v>
      </c>
      <c r="C180" t="s">
        <v>189</v>
      </c>
      <c r="D180" s="7">
        <v>4</v>
      </c>
      <c r="E180" s="7" t="s">
        <v>21</v>
      </c>
      <c r="F180">
        <v>8</v>
      </c>
      <c r="G180" t="s">
        <v>192</v>
      </c>
      <c r="H180" t="s">
        <v>405</v>
      </c>
      <c r="I180" s="13"/>
      <c r="J180">
        <v>1.75</v>
      </c>
      <c r="K180">
        <v>0.41499999999999998</v>
      </c>
      <c r="L180" s="7">
        <v>1.5</v>
      </c>
      <c r="M180" s="10">
        <v>1.18</v>
      </c>
      <c r="N180" s="10">
        <v>0.96</v>
      </c>
      <c r="O180" s="10">
        <v>0.99</v>
      </c>
      <c r="P180">
        <f t="shared" si="2"/>
        <v>1.1575</v>
      </c>
      <c r="Q180">
        <v>3.1184977331663505E-2</v>
      </c>
      <c r="R180">
        <v>0.16394435532554927</v>
      </c>
      <c r="S180">
        <v>0.89262867089143827</v>
      </c>
      <c r="T180">
        <v>0.8998830084904863</v>
      </c>
      <c r="U180">
        <v>0.78530353168243461</v>
      </c>
      <c r="V180">
        <v>4.5813948415817055E-2</v>
      </c>
      <c r="W180">
        <v>492</v>
      </c>
      <c r="X180">
        <v>677</v>
      </c>
      <c r="Y180">
        <v>0.82217875573177568</v>
      </c>
      <c r="Z180">
        <v>8.5033749141243842E-2</v>
      </c>
      <c r="AB180">
        <v>19.097846294460538</v>
      </c>
      <c r="AC180">
        <v>17.093640712708545</v>
      </c>
      <c r="AD180">
        <v>21.766921990134339</v>
      </c>
    </row>
    <row r="181" spans="1:30" x14ac:dyDescent="0.3">
      <c r="A181">
        <v>179</v>
      </c>
      <c r="B181" t="s">
        <v>201</v>
      </c>
      <c r="C181" t="s">
        <v>189</v>
      </c>
      <c r="D181" s="7">
        <v>4</v>
      </c>
      <c r="E181" s="7" t="s">
        <v>21</v>
      </c>
      <c r="F181">
        <v>6</v>
      </c>
      <c r="G181" t="s">
        <v>28</v>
      </c>
      <c r="H181" t="s">
        <v>406</v>
      </c>
      <c r="I181" s="13"/>
      <c r="J181">
        <v>2.8319999999999999</v>
      </c>
      <c r="K181">
        <v>1.155</v>
      </c>
      <c r="L181" s="7">
        <v>2.42</v>
      </c>
      <c r="M181" s="10">
        <v>3.88</v>
      </c>
      <c r="N181" s="10">
        <v>3.53</v>
      </c>
      <c r="O181" s="10">
        <v>2.74</v>
      </c>
      <c r="P181">
        <f t="shared" si="2"/>
        <v>3.1425000000000001</v>
      </c>
      <c r="Q181">
        <v>5.2380122875038244E-2</v>
      </c>
      <c r="R181">
        <v>8.5216442014658722E-2</v>
      </c>
      <c r="S181">
        <v>0.64080537162068041</v>
      </c>
      <c r="T181">
        <v>0.93750610355536157</v>
      </c>
      <c r="U181">
        <v>1.0694766025652547</v>
      </c>
      <c r="V181">
        <v>2.8025896153006394E-2</v>
      </c>
      <c r="W181">
        <v>341</v>
      </c>
      <c r="X181">
        <v>554</v>
      </c>
      <c r="Y181">
        <v>0.69533074649782867</v>
      </c>
      <c r="Z181">
        <v>0.15780856632973769</v>
      </c>
      <c r="AB181">
        <v>37.41078271767617</v>
      </c>
      <c r="AC181">
        <v>33.484697330238816</v>
      </c>
      <c r="AD181">
        <v>31.309424862518888</v>
      </c>
    </row>
    <row r="182" spans="1:30" x14ac:dyDescent="0.3">
      <c r="A182">
        <v>180</v>
      </c>
      <c r="B182" t="s">
        <v>201</v>
      </c>
      <c r="C182" t="s">
        <v>189</v>
      </c>
      <c r="D182" s="7">
        <v>4</v>
      </c>
      <c r="E182" s="7" t="s">
        <v>21</v>
      </c>
      <c r="F182">
        <v>9</v>
      </c>
      <c r="G182" t="s">
        <v>25</v>
      </c>
      <c r="H182" t="s">
        <v>407</v>
      </c>
      <c r="I182" s="13"/>
      <c r="J182">
        <v>1.77</v>
      </c>
      <c r="K182">
        <v>0.373</v>
      </c>
      <c r="L182" s="7">
        <v>1.07</v>
      </c>
      <c r="M182" s="10">
        <v>1.1200000000000001</v>
      </c>
      <c r="N182" s="10">
        <v>1.1499999999999999</v>
      </c>
      <c r="O182" s="10">
        <v>0.96</v>
      </c>
      <c r="P182">
        <f t="shared" si="2"/>
        <v>1.0750000000000002</v>
      </c>
      <c r="Q182">
        <v>4.6988576485037716E-2</v>
      </c>
      <c r="R182">
        <v>0.10335276023484256</v>
      </c>
      <c r="S182">
        <v>0.76736656910342693</v>
      </c>
      <c r="T182">
        <v>0.94325767474281774</v>
      </c>
      <c r="U182">
        <v>0.98567792020985967</v>
      </c>
      <c r="V182">
        <v>2.5369652509266399E-2</v>
      </c>
      <c r="W182">
        <v>441</v>
      </c>
      <c r="X182">
        <v>652</v>
      </c>
      <c r="Y182">
        <v>0.76489249276148052</v>
      </c>
      <c r="Z182">
        <v>0.11639960155419216</v>
      </c>
      <c r="AB182">
        <v>26.257224475203888</v>
      </c>
      <c r="AC182">
        <v>23.50169862681777</v>
      </c>
      <c r="AD182">
        <v>23.843182590327324</v>
      </c>
    </row>
    <row r="183" spans="1:30" x14ac:dyDescent="0.3">
      <c r="A183">
        <v>181</v>
      </c>
      <c r="B183" t="s">
        <v>201</v>
      </c>
      <c r="C183" t="s">
        <v>189</v>
      </c>
      <c r="D183" s="7">
        <v>4</v>
      </c>
      <c r="E183" s="7" t="s">
        <v>21</v>
      </c>
      <c r="F183">
        <v>10</v>
      </c>
      <c r="G183" t="s">
        <v>22</v>
      </c>
      <c r="H183" t="s">
        <v>408</v>
      </c>
      <c r="I183" s="13"/>
      <c r="J183">
        <v>0.997</v>
      </c>
      <c r="K183">
        <v>0.40799999999999997</v>
      </c>
      <c r="L183" s="7">
        <v>3.62</v>
      </c>
      <c r="M183" s="10">
        <v>3.87</v>
      </c>
      <c r="N183" s="10">
        <v>4.45</v>
      </c>
      <c r="O183" s="10">
        <v>4.75</v>
      </c>
      <c r="P183">
        <f t="shared" si="2"/>
        <v>4.1725000000000003</v>
      </c>
      <c r="Q183">
        <v>3.5727757280751705E-2</v>
      </c>
      <c r="R183">
        <v>0.14201664596975511</v>
      </c>
      <c r="S183">
        <v>0.83920220205061524</v>
      </c>
      <c r="T183">
        <v>0.9608906095397356</v>
      </c>
      <c r="U183">
        <v>0.84766074836962946</v>
      </c>
      <c r="V183">
        <v>1.7326050809462919E-2</v>
      </c>
      <c r="W183">
        <v>367</v>
      </c>
      <c r="X183">
        <v>606</v>
      </c>
      <c r="Y183">
        <v>0.68431231637462753</v>
      </c>
      <c r="Z183">
        <v>0.16474564342411574</v>
      </c>
      <c r="AB183">
        <v>39.468689316939134</v>
      </c>
      <c r="AC183">
        <v>35.326620118494773</v>
      </c>
      <c r="AD183">
        <v>41.675422846275652</v>
      </c>
    </row>
    <row r="184" spans="1:30" x14ac:dyDescent="0.3">
      <c r="A184">
        <v>182</v>
      </c>
      <c r="B184" t="s">
        <v>201</v>
      </c>
      <c r="C184" t="s">
        <v>189</v>
      </c>
      <c r="D184" s="7">
        <v>4</v>
      </c>
      <c r="E184" s="7" t="s">
        <v>21</v>
      </c>
      <c r="F184">
        <v>11</v>
      </c>
      <c r="G184" t="s">
        <v>23</v>
      </c>
      <c r="H184" t="s">
        <v>409</v>
      </c>
      <c r="I184" s="13"/>
      <c r="J184">
        <v>3.36</v>
      </c>
      <c r="K184">
        <v>0.89</v>
      </c>
      <c r="L184" s="7">
        <v>2.04</v>
      </c>
      <c r="M184" s="10">
        <v>2.1</v>
      </c>
      <c r="N184" s="10">
        <v>1.93</v>
      </c>
      <c r="O184" s="10">
        <v>1.99</v>
      </c>
      <c r="P184">
        <f t="shared" si="2"/>
        <v>2.0150000000000001</v>
      </c>
      <c r="Q184">
        <v>3.2334091681524638E-2</v>
      </c>
      <c r="R184">
        <v>0.12463394321040638</v>
      </c>
      <c r="S184">
        <v>0.79273145231599162</v>
      </c>
      <c r="T184">
        <v>0.89545437859377552</v>
      </c>
      <c r="U184">
        <v>0.9043636644068489</v>
      </c>
      <c r="V184">
        <v>4.7956535587913005E-2</v>
      </c>
      <c r="W184">
        <v>504</v>
      </c>
      <c r="X184">
        <v>715</v>
      </c>
      <c r="Y184">
        <v>0.79748472278937144</v>
      </c>
      <c r="Z184">
        <v>9.8277627859276698E-2</v>
      </c>
      <c r="AB184">
        <v>21.985277538354765</v>
      </c>
      <c r="AC184">
        <v>19.678065321051946</v>
      </c>
      <c r="AD184">
        <v>21.759018075939984</v>
      </c>
    </row>
    <row r="185" spans="1:30" x14ac:dyDescent="0.3">
      <c r="A185">
        <v>183</v>
      </c>
      <c r="B185" t="s">
        <v>201</v>
      </c>
      <c r="C185" t="s">
        <v>189</v>
      </c>
      <c r="D185" s="7">
        <v>4</v>
      </c>
      <c r="E185" s="7" t="s">
        <v>21</v>
      </c>
      <c r="F185">
        <v>16</v>
      </c>
      <c r="G185" t="s">
        <v>29</v>
      </c>
      <c r="H185" t="s">
        <v>410</v>
      </c>
      <c r="I185" s="13"/>
      <c r="J185">
        <v>0.27800000000000002</v>
      </c>
      <c r="K185">
        <v>8.6999999999999994E-2</v>
      </c>
      <c r="L185" s="7">
        <v>2.77</v>
      </c>
      <c r="M185" s="10">
        <v>2.8</v>
      </c>
      <c r="N185" s="10">
        <v>2.61</v>
      </c>
      <c r="O185" s="10">
        <v>2.56</v>
      </c>
      <c r="P185">
        <f t="shared" si="2"/>
        <v>2.6850000000000001</v>
      </c>
      <c r="Q185">
        <v>2.8878920987456307E-2</v>
      </c>
      <c r="R185">
        <v>0.25554038556358494</v>
      </c>
      <c r="S185">
        <v>0.92005666929355567</v>
      </c>
      <c r="T185">
        <v>0.86746867374860914</v>
      </c>
      <c r="U185">
        <v>0.59254045427137392</v>
      </c>
      <c r="V185">
        <v>6.1746199607711307E-2</v>
      </c>
      <c r="W185">
        <v>453</v>
      </c>
      <c r="X185">
        <v>590</v>
      </c>
      <c r="Y185">
        <v>0.86851658061910819</v>
      </c>
      <c r="Z185">
        <v>6.1221886137262725E-2</v>
      </c>
      <c r="AB185">
        <v>14.40467231381205</v>
      </c>
      <c r="AC185">
        <v>12.892942752410692</v>
      </c>
      <c r="AD185">
        <v>21.758755304335615</v>
      </c>
    </row>
    <row r="186" spans="1:30" x14ac:dyDescent="0.3">
      <c r="A186">
        <v>184</v>
      </c>
      <c r="B186" t="s">
        <v>202</v>
      </c>
      <c r="C186" t="s">
        <v>198</v>
      </c>
      <c r="D186" s="7">
        <v>1</v>
      </c>
      <c r="E186" s="7" t="s">
        <v>21</v>
      </c>
      <c r="F186">
        <v>3</v>
      </c>
      <c r="G186" t="s">
        <v>27</v>
      </c>
      <c r="H186" t="s">
        <v>411</v>
      </c>
      <c r="I186" s="13"/>
      <c r="J186">
        <v>1.169</v>
      </c>
      <c r="K186">
        <v>0.32300000000000001</v>
      </c>
      <c r="L186" s="7">
        <v>2.13</v>
      </c>
      <c r="M186" s="10">
        <v>2.5</v>
      </c>
      <c r="N186" s="10">
        <v>2.72</v>
      </c>
      <c r="O186" s="10">
        <v>2.88</v>
      </c>
      <c r="P186">
        <f t="shared" si="2"/>
        <v>2.5575000000000001</v>
      </c>
      <c r="Q186">
        <v>0.18923837891660333</v>
      </c>
      <c r="R186">
        <v>0.61014536194090185</v>
      </c>
      <c r="S186">
        <v>0.83615290580407564</v>
      </c>
      <c r="T186">
        <v>0.98635582501225272</v>
      </c>
      <c r="U186">
        <v>0.21456668569720719</v>
      </c>
      <c r="V186">
        <v>5.966386314007234E-3</v>
      </c>
      <c r="W186">
        <v>443</v>
      </c>
      <c r="X186">
        <v>705</v>
      </c>
      <c r="Y186">
        <v>0.71919307756463724</v>
      </c>
      <c r="Z186">
        <v>0.14315450146107339</v>
      </c>
      <c r="AB186">
        <v>33.242282732631551</v>
      </c>
      <c r="AC186">
        <v>29.753688021727392</v>
      </c>
      <c r="AD186">
        <v>138.66872168457354</v>
      </c>
    </row>
    <row r="187" spans="1:30" x14ac:dyDescent="0.3">
      <c r="A187">
        <v>185</v>
      </c>
      <c r="B187" t="s">
        <v>202</v>
      </c>
      <c r="C187" t="s">
        <v>198</v>
      </c>
      <c r="D187" s="7">
        <v>1</v>
      </c>
      <c r="E187" s="7" t="s">
        <v>21</v>
      </c>
      <c r="F187">
        <v>6</v>
      </c>
      <c r="G187" t="s">
        <v>28</v>
      </c>
      <c r="H187" t="s">
        <v>412</v>
      </c>
      <c r="I187" s="13"/>
      <c r="J187">
        <v>0.83599999999999997</v>
      </c>
      <c r="K187">
        <v>0.20799999999999999</v>
      </c>
      <c r="L187" s="7">
        <v>4.0999999999999996</v>
      </c>
      <c r="M187" s="10">
        <v>4.75</v>
      </c>
      <c r="N187" s="10">
        <v>4.8099999999999996</v>
      </c>
      <c r="O187" s="10">
        <v>3.54</v>
      </c>
      <c r="P187">
        <f t="shared" si="2"/>
        <v>4.3</v>
      </c>
      <c r="Q187">
        <v>8.8824866602407154E-2</v>
      </c>
      <c r="R187">
        <v>0.64478851823427663</v>
      </c>
      <c r="S187">
        <v>0.83207236459568201</v>
      </c>
      <c r="T187">
        <v>0.9243985040279501</v>
      </c>
      <c r="U187">
        <v>0.19058270462711743</v>
      </c>
      <c r="V187">
        <v>3.4140766019553154E-2</v>
      </c>
      <c r="W187">
        <v>471</v>
      </c>
      <c r="X187">
        <v>667</v>
      </c>
      <c r="Y187">
        <v>0.80849656996445984</v>
      </c>
      <c r="Z187">
        <v>9.2321818242017559E-2</v>
      </c>
      <c r="AB187">
        <v>20.66227912938119</v>
      </c>
      <c r="AC187">
        <v>18.493903412452376</v>
      </c>
      <c r="AD187">
        <v>97.038728926826948</v>
      </c>
    </row>
    <row r="188" spans="1:30" x14ac:dyDescent="0.3">
      <c r="A188">
        <v>186</v>
      </c>
      <c r="B188" t="s">
        <v>202</v>
      </c>
      <c r="C188" t="s">
        <v>198</v>
      </c>
      <c r="D188" s="7">
        <v>1</v>
      </c>
      <c r="E188" s="7" t="s">
        <v>21</v>
      </c>
      <c r="F188">
        <v>13</v>
      </c>
      <c r="G188" t="s">
        <v>22</v>
      </c>
      <c r="H188" t="s">
        <v>413</v>
      </c>
      <c r="I188" s="13"/>
      <c r="J188">
        <v>0.53600000000000003</v>
      </c>
      <c r="K188">
        <v>0.185</v>
      </c>
      <c r="L188" s="7">
        <v>4.3899999999999997</v>
      </c>
      <c r="M188" s="10">
        <v>5.15</v>
      </c>
      <c r="N188" s="10">
        <v>4.74</v>
      </c>
      <c r="O188" s="10">
        <v>4.84</v>
      </c>
      <c r="P188">
        <f t="shared" si="2"/>
        <v>4.7799999999999994</v>
      </c>
      <c r="Q188">
        <v>7.407678493837816E-2</v>
      </c>
      <c r="R188">
        <v>0.27186086871678322</v>
      </c>
      <c r="S188">
        <v>0.84760157004161707</v>
      </c>
      <c r="T188">
        <v>1.0286892722795973</v>
      </c>
      <c r="U188">
        <v>0.56565329967029609</v>
      </c>
      <c r="V188">
        <v>-1.2284210803725482E-2</v>
      </c>
      <c r="W188">
        <v>389</v>
      </c>
      <c r="X188">
        <v>663</v>
      </c>
      <c r="Y188">
        <v>0.67117001183909908</v>
      </c>
      <c r="Z188">
        <v>0.17316745620758831</v>
      </c>
      <c r="AB188">
        <v>42.040093968416699</v>
      </c>
      <c r="AC188">
        <v>37.628145018810592</v>
      </c>
      <c r="AD188">
        <v>66.521569026014717</v>
      </c>
    </row>
    <row r="189" spans="1:30" x14ac:dyDescent="0.3">
      <c r="A189">
        <v>187</v>
      </c>
      <c r="B189" t="s">
        <v>202</v>
      </c>
      <c r="C189" t="s">
        <v>198</v>
      </c>
      <c r="D189" s="7">
        <v>2</v>
      </c>
      <c r="E189" s="7" t="s">
        <v>21</v>
      </c>
      <c r="F189">
        <v>9</v>
      </c>
      <c r="G189" t="s">
        <v>29</v>
      </c>
      <c r="H189" t="s">
        <v>414</v>
      </c>
      <c r="I189" s="13"/>
      <c r="J189">
        <v>0.184</v>
      </c>
      <c r="K189">
        <v>4.2000000000000003E-2</v>
      </c>
      <c r="L189" s="7">
        <v>1.35</v>
      </c>
      <c r="M189" s="10">
        <v>1.78</v>
      </c>
      <c r="N189" s="10">
        <v>1.58</v>
      </c>
      <c r="O189" s="10">
        <v>1.35</v>
      </c>
      <c r="P189">
        <f t="shared" si="2"/>
        <v>1.5150000000000001</v>
      </c>
      <c r="Q189">
        <v>0.15729584903946628</v>
      </c>
      <c r="R189">
        <v>0.55107226683906785</v>
      </c>
      <c r="S189">
        <v>0.8973058035348801</v>
      </c>
      <c r="T189">
        <v>0.95245378684765236</v>
      </c>
      <c r="U189">
        <v>0.25879144464831727</v>
      </c>
      <c r="V189">
        <v>2.1156087152553165E-2</v>
      </c>
      <c r="W189">
        <v>324</v>
      </c>
      <c r="X189">
        <v>498</v>
      </c>
      <c r="Y189">
        <v>0.74383918188027254</v>
      </c>
      <c r="Z189">
        <v>0.1285209488243009</v>
      </c>
      <c r="AB189">
        <v>29.321646417343182</v>
      </c>
      <c r="AC189">
        <v>26.244519388308113</v>
      </c>
      <c r="AD189">
        <v>101.41185085918474</v>
      </c>
    </row>
    <row r="190" spans="1:30" x14ac:dyDescent="0.3">
      <c r="A190">
        <v>188</v>
      </c>
      <c r="B190" t="s">
        <v>202</v>
      </c>
      <c r="C190" t="s">
        <v>198</v>
      </c>
      <c r="D190" s="7">
        <v>2</v>
      </c>
      <c r="E190" s="7" t="s">
        <v>21</v>
      </c>
      <c r="F190">
        <v>10</v>
      </c>
      <c r="G190" t="s">
        <v>30</v>
      </c>
      <c r="H190" t="s">
        <v>415</v>
      </c>
      <c r="I190" s="13"/>
      <c r="J190">
        <v>0.28399999999999997</v>
      </c>
      <c r="K190">
        <v>4.9000000000000002E-2</v>
      </c>
      <c r="L190" s="7">
        <v>1.87</v>
      </c>
      <c r="M190" s="10">
        <v>1.74</v>
      </c>
      <c r="N190" s="10">
        <v>1.64</v>
      </c>
      <c r="O190" s="10">
        <v>2.14</v>
      </c>
      <c r="P190">
        <f t="shared" si="2"/>
        <v>1.8475000000000001</v>
      </c>
      <c r="Q190">
        <v>0.16030704393702833</v>
      </c>
      <c r="R190">
        <v>0.72274547317972127</v>
      </c>
      <c r="S190">
        <v>0.87292810083263672</v>
      </c>
      <c r="T190">
        <v>1.0131150051229951</v>
      </c>
      <c r="U190">
        <v>0.1410146197945919</v>
      </c>
      <c r="V190">
        <v>-5.6587476854048791E-3</v>
      </c>
      <c r="W190">
        <v>539</v>
      </c>
      <c r="X190">
        <v>769</v>
      </c>
      <c r="Y190">
        <v>0.80277277195281782</v>
      </c>
      <c r="Z190">
        <v>9.5407366118756137E-2</v>
      </c>
      <c r="AB190">
        <v>21.3426883642286</v>
      </c>
      <c r="AC190">
        <v>19.102910209915564</v>
      </c>
      <c r="AD190">
        <v>135.46758653635845</v>
      </c>
    </row>
    <row r="191" spans="1:30" x14ac:dyDescent="0.3">
      <c r="A191">
        <v>189</v>
      </c>
      <c r="B191" t="s">
        <v>202</v>
      </c>
      <c r="C191" t="s">
        <v>198</v>
      </c>
      <c r="D191" s="7">
        <v>2</v>
      </c>
      <c r="E191" s="7" t="s">
        <v>21</v>
      </c>
      <c r="F191">
        <v>11</v>
      </c>
      <c r="G191" t="s">
        <v>22</v>
      </c>
      <c r="H191" t="s">
        <v>416</v>
      </c>
      <c r="I191" s="13"/>
      <c r="J191">
        <v>0.746</v>
      </c>
      <c r="K191">
        <v>0.26500000000000001</v>
      </c>
      <c r="L191" s="7">
        <v>3.97</v>
      </c>
      <c r="M191" s="10">
        <v>3.21</v>
      </c>
      <c r="N191" s="10">
        <v>3.18</v>
      </c>
      <c r="O191" s="10">
        <v>3.01</v>
      </c>
      <c r="P191">
        <f t="shared" si="2"/>
        <v>3.3424999999999998</v>
      </c>
      <c r="Q191">
        <v>5.9013935074157059E-2</v>
      </c>
      <c r="R191">
        <v>0.30382070043977649</v>
      </c>
      <c r="S191">
        <v>0.87491237720397408</v>
      </c>
      <c r="T191">
        <v>1.0114133632920097</v>
      </c>
      <c r="U191">
        <v>0.51738263935902296</v>
      </c>
      <c r="V191">
        <v>-4.9286874472471683E-3</v>
      </c>
      <c r="W191">
        <v>435</v>
      </c>
      <c r="X191">
        <v>689</v>
      </c>
      <c r="Y191">
        <v>0.72256850254503335</v>
      </c>
      <c r="Z191">
        <v>0.1411209736689456</v>
      </c>
      <c r="AB191">
        <v>32.682988359158458</v>
      </c>
      <c r="AC191">
        <v>29.253091741551099</v>
      </c>
      <c r="AD191">
        <v>56.540535990523928</v>
      </c>
    </row>
    <row r="192" spans="1:30" x14ac:dyDescent="0.3">
      <c r="A192">
        <v>190</v>
      </c>
      <c r="B192" t="s">
        <v>202</v>
      </c>
      <c r="C192" t="s">
        <v>198</v>
      </c>
      <c r="D192" s="7">
        <v>2</v>
      </c>
      <c r="E192" s="7" t="s">
        <v>21</v>
      </c>
      <c r="F192">
        <v>14</v>
      </c>
      <c r="G192" t="s">
        <v>192</v>
      </c>
      <c r="H192" t="s">
        <v>417</v>
      </c>
      <c r="I192" s="13"/>
      <c r="J192">
        <v>0.64</v>
      </c>
      <c r="K192">
        <v>0.13300000000000001</v>
      </c>
      <c r="L192" s="7">
        <v>1.41</v>
      </c>
      <c r="M192" s="10">
        <v>1.52</v>
      </c>
      <c r="N192" s="10">
        <v>1.39</v>
      </c>
      <c r="O192" s="10">
        <v>1.52</v>
      </c>
      <c r="P192">
        <f t="shared" si="2"/>
        <v>1.46</v>
      </c>
      <c r="Q192">
        <v>0.19403839291688668</v>
      </c>
      <c r="R192">
        <v>0.77266680798250043</v>
      </c>
      <c r="S192">
        <v>0.86887319910275496</v>
      </c>
      <c r="T192">
        <v>0.99884222477725937</v>
      </c>
      <c r="U192">
        <v>0.11200774366238572</v>
      </c>
      <c r="V192">
        <v>5.0310668898140211E-4</v>
      </c>
      <c r="W192">
        <v>455</v>
      </c>
      <c r="X192">
        <v>684</v>
      </c>
      <c r="Y192">
        <v>0.76147748446162089</v>
      </c>
      <c r="Z192">
        <v>0.11834293345550038</v>
      </c>
      <c r="AB192">
        <v>26.737352338944458</v>
      </c>
      <c r="AC192">
        <v>23.931439106156262</v>
      </c>
      <c r="AD192">
        <v>213.65879111260844</v>
      </c>
    </row>
    <row r="193" spans="1:30" x14ac:dyDescent="0.3">
      <c r="A193">
        <v>191</v>
      </c>
      <c r="B193" t="s">
        <v>202</v>
      </c>
      <c r="C193" t="s">
        <v>198</v>
      </c>
      <c r="D193" s="7">
        <v>3</v>
      </c>
      <c r="E193" s="7" t="s">
        <v>21</v>
      </c>
      <c r="F193">
        <v>2</v>
      </c>
      <c r="G193" t="s">
        <v>27</v>
      </c>
      <c r="H193" t="s">
        <v>418</v>
      </c>
      <c r="I193" s="13"/>
      <c r="J193" t="s">
        <v>225</v>
      </c>
      <c r="K193" t="s">
        <v>225</v>
      </c>
      <c r="L193" t="s">
        <v>225</v>
      </c>
      <c r="M193" t="s">
        <v>225</v>
      </c>
      <c r="N193" t="s">
        <v>225</v>
      </c>
      <c r="O193" t="s">
        <v>225</v>
      </c>
      <c r="P193" t="s">
        <v>225</v>
      </c>
      <c r="Q193">
        <v>0.16721694329247291</v>
      </c>
      <c r="R193">
        <v>0.98616113879667122</v>
      </c>
      <c r="S193">
        <v>0.90848215666503773</v>
      </c>
      <c r="T193">
        <v>1.0067114519045919</v>
      </c>
      <c r="U193">
        <v>6.0521155127472798E-3</v>
      </c>
      <c r="V193">
        <v>-2.9050089815903075E-3</v>
      </c>
      <c r="W193">
        <v>335</v>
      </c>
      <c r="X193">
        <v>533</v>
      </c>
      <c r="Y193">
        <v>0.71864129524335085</v>
      </c>
      <c r="Z193">
        <v>0.14348783057552805</v>
      </c>
      <c r="AB193">
        <v>33.334405938227931</v>
      </c>
      <c r="AC193">
        <v>29.836142854661901</v>
      </c>
      <c r="AD193">
        <v>4929.8700250878337</v>
      </c>
    </row>
    <row r="194" spans="1:30" x14ac:dyDescent="0.3">
      <c r="A194">
        <v>192</v>
      </c>
      <c r="B194" t="s">
        <v>202</v>
      </c>
      <c r="C194" t="s">
        <v>198</v>
      </c>
      <c r="D194" s="7">
        <v>3</v>
      </c>
      <c r="E194" s="7" t="s">
        <v>21</v>
      </c>
      <c r="F194">
        <v>3</v>
      </c>
      <c r="G194" t="s">
        <v>192</v>
      </c>
      <c r="H194" t="s">
        <v>419</v>
      </c>
      <c r="I194" s="13"/>
      <c r="J194">
        <v>0.70299999999999996</v>
      </c>
      <c r="K194">
        <v>0.161</v>
      </c>
      <c r="L194" s="7">
        <v>1.86</v>
      </c>
      <c r="M194">
        <v>1.94</v>
      </c>
      <c r="N194">
        <v>1.96</v>
      </c>
      <c r="O194">
        <v>2.34</v>
      </c>
      <c r="P194">
        <f t="shared" si="2"/>
        <v>2.0249999999999999</v>
      </c>
      <c r="Q194">
        <v>4.6238676434845298E-2</v>
      </c>
      <c r="R194">
        <v>0.15778894239394375</v>
      </c>
      <c r="S194">
        <v>0.8510445816402944</v>
      </c>
      <c r="T194">
        <v>0.99522149404439131</v>
      </c>
      <c r="U194">
        <v>0.80192343474863115</v>
      </c>
      <c r="V194">
        <v>2.0802529867876311E-3</v>
      </c>
      <c r="W194">
        <v>336</v>
      </c>
      <c r="X194">
        <v>525</v>
      </c>
      <c r="Y194">
        <v>0.73180394785549208</v>
      </c>
      <c r="Z194">
        <v>0.13560525195896192</v>
      </c>
      <c r="AB194">
        <v>31.189478237175937</v>
      </c>
      <c r="AC194">
        <v>27.916324968710391</v>
      </c>
      <c r="AD194">
        <v>34.811708648296296</v>
      </c>
    </row>
    <row r="195" spans="1:30" x14ac:dyDescent="0.3">
      <c r="A195">
        <v>193</v>
      </c>
      <c r="B195" t="s">
        <v>202</v>
      </c>
      <c r="C195" t="s">
        <v>198</v>
      </c>
      <c r="D195" s="7">
        <v>3</v>
      </c>
      <c r="E195" s="7" t="s">
        <v>21</v>
      </c>
      <c r="F195">
        <v>8</v>
      </c>
      <c r="G195" t="s">
        <v>22</v>
      </c>
      <c r="H195" t="s">
        <v>420</v>
      </c>
      <c r="I195" s="13"/>
      <c r="J195">
        <v>2.0510000000000002</v>
      </c>
      <c r="K195">
        <v>0.752</v>
      </c>
      <c r="L195" s="7">
        <v>3.72</v>
      </c>
      <c r="M195">
        <v>3.69</v>
      </c>
      <c r="N195">
        <v>3.82</v>
      </c>
      <c r="O195">
        <v>4.28</v>
      </c>
      <c r="P195">
        <f t="shared" si="2"/>
        <v>3.8775000000000004</v>
      </c>
      <c r="Q195">
        <v>7.7356744897722443E-2</v>
      </c>
      <c r="R195">
        <v>0.50353338175326356</v>
      </c>
      <c r="S195">
        <v>0.86974376167625722</v>
      </c>
      <c r="T195">
        <v>0.96431390274847284</v>
      </c>
      <c r="U195">
        <v>0.29797173259661619</v>
      </c>
      <c r="V195">
        <v>1.5781571864076908E-2</v>
      </c>
      <c r="W195">
        <v>445</v>
      </c>
      <c r="X195">
        <v>674</v>
      </c>
      <c r="Y195">
        <v>0.7557327278144651</v>
      </c>
      <c r="Z195">
        <v>0.12163176978770701</v>
      </c>
      <c r="AB195">
        <v>27.559623820357928</v>
      </c>
      <c r="AC195">
        <v>24.667416250205243</v>
      </c>
      <c r="AD195">
        <v>82.784417284303728</v>
      </c>
    </row>
    <row r="196" spans="1:30" x14ac:dyDescent="0.3">
      <c r="A196">
        <v>194</v>
      </c>
      <c r="B196" t="s">
        <v>202</v>
      </c>
      <c r="C196" t="s">
        <v>198</v>
      </c>
      <c r="D196" s="7">
        <v>3</v>
      </c>
      <c r="E196" s="7" t="s">
        <v>21</v>
      </c>
      <c r="F196">
        <v>6</v>
      </c>
      <c r="G196" t="s">
        <v>24</v>
      </c>
      <c r="H196" t="s">
        <v>421</v>
      </c>
      <c r="I196" s="13"/>
      <c r="J196">
        <v>1.4990000000000001</v>
      </c>
      <c r="K196">
        <v>0.14499999999999999</v>
      </c>
      <c r="L196" s="7">
        <v>2.98</v>
      </c>
      <c r="M196">
        <v>2.96</v>
      </c>
      <c r="N196">
        <v>3.13</v>
      </c>
      <c r="O196">
        <v>2.35</v>
      </c>
      <c r="P196">
        <f t="shared" ref="P196:P259" si="3">AVERAGE(L196:O196)</f>
        <v>2.855</v>
      </c>
      <c r="Q196">
        <v>7.3389644673953744E-2</v>
      </c>
      <c r="R196">
        <v>0.53801660699227272</v>
      </c>
      <c r="S196">
        <v>0.88805414498684621</v>
      </c>
      <c r="T196">
        <v>0.97801568711238773</v>
      </c>
      <c r="U196">
        <v>0.26920431873176648</v>
      </c>
      <c r="V196">
        <v>9.654179188156491E-3</v>
      </c>
      <c r="W196">
        <v>404</v>
      </c>
      <c r="X196">
        <v>628</v>
      </c>
      <c r="Y196">
        <v>0.73610214025472354</v>
      </c>
      <c r="Z196">
        <v>0.13306191953304611</v>
      </c>
      <c r="AB196">
        <v>30.512386727653666</v>
      </c>
      <c r="AC196">
        <v>27.310293501384123</v>
      </c>
      <c r="AD196">
        <v>101.4481997541649</v>
      </c>
    </row>
    <row r="197" spans="1:30" x14ac:dyDescent="0.3">
      <c r="A197">
        <v>195</v>
      </c>
      <c r="B197" t="s">
        <v>202</v>
      </c>
      <c r="C197" t="s">
        <v>198</v>
      </c>
      <c r="D197" s="7">
        <v>3</v>
      </c>
      <c r="E197" s="7" t="s">
        <v>21</v>
      </c>
      <c r="F197">
        <v>10</v>
      </c>
      <c r="G197" t="s">
        <v>23</v>
      </c>
      <c r="H197" t="s">
        <v>422</v>
      </c>
      <c r="I197" s="13"/>
      <c r="J197">
        <v>0.308</v>
      </c>
      <c r="K197">
        <v>5.5E-2</v>
      </c>
      <c r="L197" s="7">
        <v>2</v>
      </c>
      <c r="M197">
        <v>1.88</v>
      </c>
      <c r="N197">
        <v>1.86</v>
      </c>
      <c r="O197">
        <v>1.99</v>
      </c>
      <c r="P197">
        <f t="shared" si="3"/>
        <v>1.9325000000000001</v>
      </c>
      <c r="Q197">
        <v>8.7283365491252624E-2</v>
      </c>
      <c r="R197">
        <v>0.53032749121863731</v>
      </c>
      <c r="S197">
        <v>0.9072963101687439</v>
      </c>
      <c r="T197">
        <v>0.96079109240479232</v>
      </c>
      <c r="U197">
        <v>0.2754558592568962</v>
      </c>
      <c r="V197">
        <v>1.7371031976276943E-2</v>
      </c>
      <c r="W197">
        <v>391</v>
      </c>
      <c r="X197">
        <v>586</v>
      </c>
      <c r="Y197">
        <v>0.76343717444634873</v>
      </c>
      <c r="Z197">
        <v>0.11722669654327246</v>
      </c>
      <c r="AB197">
        <v>26.461048720365149</v>
      </c>
      <c r="AC197">
        <v>23.684132404396145</v>
      </c>
      <c r="AD197">
        <v>85.981588731818562</v>
      </c>
    </row>
    <row r="198" spans="1:30" x14ac:dyDescent="0.3">
      <c r="A198">
        <v>196</v>
      </c>
      <c r="B198" t="s">
        <v>202</v>
      </c>
      <c r="C198" t="s">
        <v>198</v>
      </c>
      <c r="D198" s="7">
        <v>3</v>
      </c>
      <c r="E198" s="7" t="s">
        <v>21</v>
      </c>
      <c r="F198">
        <v>15</v>
      </c>
      <c r="G198" t="s">
        <v>25</v>
      </c>
      <c r="H198" t="s">
        <v>423</v>
      </c>
      <c r="I198" s="13"/>
      <c r="J198">
        <v>1.1180000000000001</v>
      </c>
      <c r="K198">
        <v>0.17199999999999999</v>
      </c>
      <c r="L198" s="7">
        <v>1.1599999999999999</v>
      </c>
      <c r="M198">
        <v>1.17</v>
      </c>
      <c r="N198">
        <v>1.45</v>
      </c>
      <c r="O198">
        <v>1.4</v>
      </c>
      <c r="P198">
        <f t="shared" si="3"/>
        <v>1.2949999999999999</v>
      </c>
      <c r="Q198">
        <v>0.35915797939716421</v>
      </c>
      <c r="R198">
        <v>0.51538437384732916</v>
      </c>
      <c r="S198">
        <v>0.85145173625287673</v>
      </c>
      <c r="T198">
        <v>0.99105155162463454</v>
      </c>
      <c r="U198">
        <v>0.28786875314009347</v>
      </c>
      <c r="V198">
        <v>3.9037541889857712E-3</v>
      </c>
      <c r="W198">
        <v>452</v>
      </c>
      <c r="X198">
        <v>679</v>
      </c>
      <c r="Y198">
        <v>0.76201301337292249</v>
      </c>
      <c r="Z198">
        <v>0.11803761187851938</v>
      </c>
      <c r="AB198">
        <v>26.661635860891657</v>
      </c>
      <c r="AC198">
        <v>23.863668764078696</v>
      </c>
      <c r="AD198">
        <v>82.89773900005487</v>
      </c>
    </row>
    <row r="199" spans="1:30" x14ac:dyDescent="0.3">
      <c r="A199">
        <v>197</v>
      </c>
      <c r="B199" t="s">
        <v>202</v>
      </c>
      <c r="C199" t="s">
        <v>198</v>
      </c>
      <c r="D199" s="7">
        <v>3</v>
      </c>
      <c r="E199" s="7" t="s">
        <v>21</v>
      </c>
      <c r="F199">
        <v>14</v>
      </c>
      <c r="G199" t="s">
        <v>29</v>
      </c>
      <c r="H199" t="s">
        <v>424</v>
      </c>
      <c r="I199" s="13"/>
      <c r="J199">
        <v>0.56699999999999995</v>
      </c>
      <c r="K199">
        <v>5.8000000000000003E-2</v>
      </c>
      <c r="L199" s="7">
        <v>2.56</v>
      </c>
      <c r="M199">
        <v>1.93</v>
      </c>
      <c r="N199">
        <v>2.71</v>
      </c>
      <c r="O199">
        <v>2.79</v>
      </c>
      <c r="P199">
        <f t="shared" si="3"/>
        <v>2.4975000000000001</v>
      </c>
      <c r="Q199">
        <v>0.10633977052473004</v>
      </c>
      <c r="R199">
        <v>0.51879176211882794</v>
      </c>
      <c r="S199">
        <v>0.84279657247902284</v>
      </c>
      <c r="T199">
        <v>0.99325510941400708</v>
      </c>
      <c r="U199">
        <v>0.28500692868421867</v>
      </c>
      <c r="V199">
        <v>2.9391922080622785E-3</v>
      </c>
      <c r="W199">
        <v>369</v>
      </c>
      <c r="X199">
        <v>589</v>
      </c>
      <c r="Y199">
        <v>0.71658597908363864</v>
      </c>
      <c r="Z199">
        <v>0.14473169361084892</v>
      </c>
      <c r="AB199">
        <v>33.67928411347205</v>
      </c>
      <c r="AC199">
        <v>30.144825863439799</v>
      </c>
      <c r="AD199">
        <v>105.76874745680163</v>
      </c>
    </row>
    <row r="200" spans="1:30" x14ac:dyDescent="0.3">
      <c r="A200">
        <v>198</v>
      </c>
      <c r="B200" t="s">
        <v>202</v>
      </c>
      <c r="C200" t="s">
        <v>198</v>
      </c>
      <c r="D200" s="7">
        <v>3</v>
      </c>
      <c r="E200" s="7" t="s">
        <v>21</v>
      </c>
      <c r="F200">
        <v>13</v>
      </c>
      <c r="G200" t="s">
        <v>28</v>
      </c>
      <c r="H200" t="s">
        <v>425</v>
      </c>
      <c r="I200" s="13"/>
      <c r="J200">
        <v>0.56999999999999995</v>
      </c>
      <c r="K200">
        <v>0.46600000000000003</v>
      </c>
      <c r="L200" s="7">
        <v>4.47</v>
      </c>
      <c r="M200">
        <v>4.47</v>
      </c>
      <c r="N200">
        <v>4.67</v>
      </c>
      <c r="O200">
        <v>5.1100000000000003</v>
      </c>
      <c r="P200">
        <f t="shared" si="3"/>
        <v>4.68</v>
      </c>
      <c r="Q200">
        <v>0.16091910217151573</v>
      </c>
      <c r="R200">
        <v>0.64827187488138105</v>
      </c>
      <c r="S200">
        <v>0.87590004719422876</v>
      </c>
      <c r="T200">
        <v>0.97630379112677756</v>
      </c>
      <c r="U200">
        <v>0.18824281974952356</v>
      </c>
      <c r="V200">
        <v>1.0415024258345505E-2</v>
      </c>
      <c r="W200">
        <v>401</v>
      </c>
      <c r="X200">
        <v>624</v>
      </c>
      <c r="Y200">
        <v>0.73529974818501775</v>
      </c>
      <c r="Z200">
        <v>0.13353558275922112</v>
      </c>
      <c r="AB200">
        <v>30.637932775769169</v>
      </c>
      <c r="AC200">
        <v>27.422663646472373</v>
      </c>
      <c r="AD200">
        <v>145.67707646411719</v>
      </c>
    </row>
    <row r="201" spans="1:30" x14ac:dyDescent="0.3">
      <c r="A201">
        <v>199</v>
      </c>
      <c r="B201" t="s">
        <v>202</v>
      </c>
      <c r="C201" t="s">
        <v>198</v>
      </c>
      <c r="D201" s="7">
        <v>4</v>
      </c>
      <c r="E201" s="7" t="s">
        <v>21</v>
      </c>
      <c r="F201">
        <v>2</v>
      </c>
      <c r="G201" t="s">
        <v>29</v>
      </c>
      <c r="H201" t="s">
        <v>426</v>
      </c>
      <c r="I201" s="13"/>
      <c r="J201" t="s">
        <v>225</v>
      </c>
      <c r="K201" t="s">
        <v>225</v>
      </c>
      <c r="L201" t="s">
        <v>225</v>
      </c>
      <c r="M201" t="s">
        <v>225</v>
      </c>
      <c r="N201" t="s">
        <v>225</v>
      </c>
      <c r="O201" t="s">
        <v>225</v>
      </c>
      <c r="P201" t="s">
        <v>225</v>
      </c>
      <c r="Q201">
        <v>0.12215705030778361</v>
      </c>
      <c r="R201">
        <v>0.57719008395228422</v>
      </c>
      <c r="S201">
        <v>0.85900419887285018</v>
      </c>
      <c r="T201">
        <v>1.0202604516126739</v>
      </c>
      <c r="U201">
        <v>0.23868113863501855</v>
      </c>
      <c r="V201">
        <v>-8.7110524082704248E-3</v>
      </c>
      <c r="W201">
        <v>353</v>
      </c>
      <c r="X201">
        <v>550</v>
      </c>
      <c r="Y201">
        <v>0.73403089616053974</v>
      </c>
      <c r="Z201">
        <v>0.13428565977106754</v>
      </c>
      <c r="AB201">
        <v>30.837261593462785</v>
      </c>
      <c r="AC201">
        <v>27.601073129002067</v>
      </c>
      <c r="AD201">
        <v>115.63994242213039</v>
      </c>
    </row>
    <row r="202" spans="1:30" x14ac:dyDescent="0.3">
      <c r="A202">
        <v>200</v>
      </c>
      <c r="B202" t="s">
        <v>202</v>
      </c>
      <c r="C202" t="s">
        <v>198</v>
      </c>
      <c r="D202" s="7">
        <v>4</v>
      </c>
      <c r="E202" s="7" t="s">
        <v>21</v>
      </c>
      <c r="F202">
        <v>16</v>
      </c>
      <c r="G202" t="s">
        <v>27</v>
      </c>
      <c r="H202" t="s">
        <v>427</v>
      </c>
      <c r="I202" s="13"/>
      <c r="J202">
        <v>0.23300000000000001</v>
      </c>
      <c r="K202">
        <v>2.7E-2</v>
      </c>
      <c r="L202" s="7">
        <v>1.28</v>
      </c>
      <c r="M202">
        <v>1.1399999999999999</v>
      </c>
      <c r="N202">
        <v>1.1499999999999999</v>
      </c>
      <c r="O202">
        <v>1.01</v>
      </c>
      <c r="P202">
        <f t="shared" si="3"/>
        <v>1.145</v>
      </c>
      <c r="Q202">
        <v>0.26306211736446283</v>
      </c>
      <c r="R202">
        <v>0.64590030389789521</v>
      </c>
      <c r="S202">
        <v>0.91578703776300285</v>
      </c>
      <c r="T202">
        <v>0.95217343772776342</v>
      </c>
      <c r="U202">
        <v>0.1898345111200368</v>
      </c>
      <c r="V202">
        <v>2.1283937972999798E-2</v>
      </c>
      <c r="W202">
        <v>473</v>
      </c>
      <c r="X202">
        <v>668</v>
      </c>
      <c r="Y202">
        <v>0.81072700871058567</v>
      </c>
      <c r="Z202">
        <v>9.1125358574452558E-2</v>
      </c>
      <c r="AB202">
        <v>20.401335164725637</v>
      </c>
      <c r="AC202">
        <v>18.26034287597767</v>
      </c>
      <c r="AD202">
        <v>96.190849431119659</v>
      </c>
    </row>
    <row r="203" spans="1:30" x14ac:dyDescent="0.3">
      <c r="A203">
        <v>201</v>
      </c>
      <c r="B203" t="s">
        <v>202</v>
      </c>
      <c r="C203" t="s">
        <v>198</v>
      </c>
      <c r="D203" s="7">
        <v>4</v>
      </c>
      <c r="E203" s="7" t="s">
        <v>21</v>
      </c>
      <c r="F203">
        <v>6</v>
      </c>
      <c r="G203" t="s">
        <v>192</v>
      </c>
      <c r="H203" t="s">
        <v>428</v>
      </c>
      <c r="I203" s="13"/>
      <c r="J203">
        <v>0.48599999999999999</v>
      </c>
      <c r="K203">
        <v>0.09</v>
      </c>
      <c r="L203" s="7">
        <v>1.67</v>
      </c>
      <c r="M203">
        <v>1.7</v>
      </c>
      <c r="N203">
        <v>1.48</v>
      </c>
      <c r="O203">
        <v>1.22</v>
      </c>
      <c r="P203">
        <f t="shared" si="3"/>
        <v>1.5174999999999998</v>
      </c>
      <c r="Q203">
        <v>0.2962872667059101</v>
      </c>
      <c r="R203">
        <v>0.73592276158191894</v>
      </c>
      <c r="S203">
        <v>0.83007831434302148</v>
      </c>
      <c r="T203">
        <v>0.97306454559961275</v>
      </c>
      <c r="U203">
        <v>0.13316776443833075</v>
      </c>
      <c r="V203">
        <v>1.1858351028651409E-2</v>
      </c>
      <c r="W203">
        <v>423</v>
      </c>
      <c r="X203">
        <v>639</v>
      </c>
      <c r="Y203">
        <v>0.75760177816489105</v>
      </c>
      <c r="Z203">
        <v>0.12055901467229378</v>
      </c>
      <c r="AB203">
        <v>27.290072172536298</v>
      </c>
      <c r="AC203">
        <v>24.426153105235468</v>
      </c>
      <c r="AD203">
        <v>183.42391800492439</v>
      </c>
    </row>
    <row r="204" spans="1:30" x14ac:dyDescent="0.3">
      <c r="A204">
        <v>202</v>
      </c>
      <c r="B204" t="s">
        <v>203</v>
      </c>
      <c r="C204" t="s">
        <v>189</v>
      </c>
      <c r="D204" s="7">
        <v>1</v>
      </c>
      <c r="E204" s="7" t="s">
        <v>21</v>
      </c>
      <c r="F204">
        <v>2</v>
      </c>
      <c r="G204" t="s">
        <v>23</v>
      </c>
      <c r="H204" t="s">
        <v>429</v>
      </c>
      <c r="I204" t="s">
        <v>430</v>
      </c>
      <c r="J204">
        <v>1.3069999999999999</v>
      </c>
      <c r="K204">
        <v>0.33600000000000002</v>
      </c>
      <c r="L204" s="7">
        <v>2.21</v>
      </c>
      <c r="M204">
        <v>2.2000000000000002</v>
      </c>
      <c r="N204">
        <v>1.69</v>
      </c>
      <c r="O204">
        <v>1.86</v>
      </c>
      <c r="P204">
        <f t="shared" si="3"/>
        <v>1.99</v>
      </c>
      <c r="Q204">
        <v>4.1970233969880567E-2</v>
      </c>
      <c r="R204">
        <v>0.24014386204918434</v>
      </c>
      <c r="S204">
        <v>0.83699693075876624</v>
      </c>
      <c r="T204">
        <v>0.99085443711846011</v>
      </c>
      <c r="U204">
        <v>0.61952850922171199</v>
      </c>
      <c r="V204">
        <v>3.9901414778916932E-3</v>
      </c>
      <c r="W204">
        <v>421</v>
      </c>
      <c r="X204">
        <v>686</v>
      </c>
      <c r="Y204">
        <v>0.69637282425603586</v>
      </c>
      <c r="Z204">
        <v>0.15715818543800969</v>
      </c>
      <c r="AB204">
        <v>37.220631844795051</v>
      </c>
      <c r="AC204">
        <v>33.314503290517777</v>
      </c>
      <c r="AD204">
        <v>53.773963255330102</v>
      </c>
    </row>
    <row r="205" spans="1:30" x14ac:dyDescent="0.3">
      <c r="A205">
        <v>203</v>
      </c>
      <c r="B205" t="s">
        <v>203</v>
      </c>
      <c r="C205" t="s">
        <v>189</v>
      </c>
      <c r="D205" s="7">
        <v>1</v>
      </c>
      <c r="E205" s="7" t="s">
        <v>21</v>
      </c>
      <c r="F205">
        <v>8</v>
      </c>
      <c r="G205" t="s">
        <v>25</v>
      </c>
      <c r="H205" t="s">
        <v>431</v>
      </c>
      <c r="I205" t="s">
        <v>432</v>
      </c>
      <c r="J205">
        <v>1.657</v>
      </c>
      <c r="K205">
        <v>0.40400000000000003</v>
      </c>
      <c r="L205" s="7">
        <v>2.0099999999999998</v>
      </c>
      <c r="M205">
        <v>1.34</v>
      </c>
      <c r="N205">
        <v>1.64</v>
      </c>
      <c r="O205">
        <v>1.23</v>
      </c>
      <c r="P205">
        <f t="shared" si="3"/>
        <v>1.5549999999999997</v>
      </c>
      <c r="Q205">
        <v>0.19491002791720871</v>
      </c>
      <c r="R205">
        <v>0.34985815046143148</v>
      </c>
      <c r="S205">
        <v>0.83117252157851751</v>
      </c>
      <c r="T205">
        <v>1.0229276559804714</v>
      </c>
      <c r="U205">
        <v>0.45610800410372548</v>
      </c>
      <c r="V205">
        <v>-9.8449203989096189E-3</v>
      </c>
      <c r="W205">
        <v>415</v>
      </c>
      <c r="X205">
        <v>693</v>
      </c>
      <c r="Y205">
        <v>0.67945753668297026</v>
      </c>
      <c r="Z205">
        <v>0.16783767971223612</v>
      </c>
      <c r="AB205">
        <v>40.403464172834447</v>
      </c>
      <c r="AC205">
        <v>36.163286748700145</v>
      </c>
      <c r="AD205">
        <v>79.286674259888883</v>
      </c>
    </row>
    <row r="206" spans="1:30" x14ac:dyDescent="0.3">
      <c r="A206">
        <v>204</v>
      </c>
      <c r="B206" t="s">
        <v>203</v>
      </c>
      <c r="C206" t="s">
        <v>189</v>
      </c>
      <c r="D206" s="7">
        <v>1</v>
      </c>
      <c r="E206" s="7" t="s">
        <v>21</v>
      </c>
      <c r="F206">
        <v>7</v>
      </c>
      <c r="G206" t="s">
        <v>24</v>
      </c>
      <c r="H206" t="s">
        <v>433</v>
      </c>
      <c r="I206" t="s">
        <v>434</v>
      </c>
      <c r="J206">
        <v>3.1930000000000001</v>
      </c>
      <c r="K206">
        <v>1.254</v>
      </c>
      <c r="L206" s="7">
        <v>4.4000000000000004</v>
      </c>
      <c r="M206">
        <v>6.42</v>
      </c>
      <c r="N206">
        <v>4.07</v>
      </c>
      <c r="O206">
        <v>4.16</v>
      </c>
      <c r="P206">
        <f t="shared" si="3"/>
        <v>4.7625000000000002</v>
      </c>
      <c r="Q206">
        <v>5.0288444513079213E-2</v>
      </c>
      <c r="R206">
        <v>0.13151758101086819</v>
      </c>
      <c r="S206">
        <v>0.8316280161734303</v>
      </c>
      <c r="T206">
        <v>0.96856020336346049</v>
      </c>
      <c r="U206">
        <v>0.881016187663613</v>
      </c>
      <c r="V206">
        <v>1.3873379409568048E-2</v>
      </c>
      <c r="W206">
        <v>321</v>
      </c>
      <c r="X206">
        <v>585</v>
      </c>
      <c r="Y206">
        <v>0.62186512118018966</v>
      </c>
      <c r="Z206">
        <v>0.20630380096709774</v>
      </c>
      <c r="AB206">
        <v>52.935173773401729</v>
      </c>
      <c r="AC206">
        <v>47.379712429255491</v>
      </c>
      <c r="AD206">
        <v>53.7784811365417</v>
      </c>
    </row>
    <row r="207" spans="1:30" x14ac:dyDescent="0.3">
      <c r="A207">
        <v>205</v>
      </c>
      <c r="B207" t="s">
        <v>203</v>
      </c>
      <c r="C207" t="s">
        <v>189</v>
      </c>
      <c r="D207" s="7">
        <v>1</v>
      </c>
      <c r="E207" s="7" t="s">
        <v>21</v>
      </c>
      <c r="F207">
        <v>6</v>
      </c>
      <c r="G207" t="s">
        <v>26</v>
      </c>
      <c r="H207" t="s">
        <v>435</v>
      </c>
      <c r="I207" t="s">
        <v>436</v>
      </c>
      <c r="J207">
        <v>3.3170000000000002</v>
      </c>
      <c r="K207">
        <v>0.72</v>
      </c>
      <c r="L207" s="7">
        <v>1.1000000000000001</v>
      </c>
      <c r="M207">
        <v>1.06</v>
      </c>
      <c r="N207">
        <v>1.04</v>
      </c>
      <c r="O207">
        <v>1.08</v>
      </c>
      <c r="P207">
        <f t="shared" si="3"/>
        <v>1.07</v>
      </c>
      <c r="Q207">
        <v>2.6842645558531605E-2</v>
      </c>
      <c r="R207">
        <v>0.15911880332905487</v>
      </c>
      <c r="S207">
        <v>0.8786957774130667</v>
      </c>
      <c r="T207">
        <v>0.99258496454749578</v>
      </c>
      <c r="U207">
        <v>0.79827849603207723</v>
      </c>
      <c r="V207">
        <v>3.2323076834378235E-3</v>
      </c>
      <c r="W207">
        <v>488</v>
      </c>
      <c r="X207">
        <v>736</v>
      </c>
      <c r="Y207">
        <v>0.75277864992150711</v>
      </c>
      <c r="Z207">
        <v>0.12333270673378087</v>
      </c>
      <c r="AB207">
        <v>27.989683270378475</v>
      </c>
      <c r="AC207">
        <v>25.052342348786755</v>
      </c>
      <c r="AD207">
        <v>31.382960299334027</v>
      </c>
    </row>
    <row r="208" spans="1:30" x14ac:dyDescent="0.3">
      <c r="A208">
        <v>206</v>
      </c>
      <c r="B208" t="s">
        <v>203</v>
      </c>
      <c r="C208" t="s">
        <v>189</v>
      </c>
      <c r="D208" s="7">
        <v>1</v>
      </c>
      <c r="E208" s="7" t="s">
        <v>21</v>
      </c>
      <c r="F208">
        <v>9</v>
      </c>
      <c r="G208" t="s">
        <v>28</v>
      </c>
      <c r="H208" t="s">
        <v>437</v>
      </c>
      <c r="I208" t="s">
        <v>438</v>
      </c>
      <c r="J208">
        <v>3.2069999999999999</v>
      </c>
      <c r="K208">
        <v>1.1319999999999999</v>
      </c>
      <c r="L208" s="7">
        <v>4.82</v>
      </c>
      <c r="M208">
        <v>5.27</v>
      </c>
      <c r="N208">
        <v>4.68</v>
      </c>
      <c r="O208">
        <v>3.86</v>
      </c>
      <c r="P208">
        <f t="shared" si="3"/>
        <v>4.6574999999999998</v>
      </c>
      <c r="Q208">
        <v>3.1012190358962067E-2</v>
      </c>
      <c r="R208">
        <v>0.130852457849748</v>
      </c>
      <c r="S208">
        <v>0.85186438434588929</v>
      </c>
      <c r="T208">
        <v>1.0413778673598975</v>
      </c>
      <c r="U208">
        <v>0.88321811543481576</v>
      </c>
      <c r="V208">
        <v>-1.7608343278592634E-2</v>
      </c>
      <c r="W208">
        <v>326</v>
      </c>
      <c r="X208">
        <v>537</v>
      </c>
      <c r="Y208">
        <v>0.68817451205510904</v>
      </c>
      <c r="Z208">
        <v>0.16230141639803727</v>
      </c>
      <c r="AB208">
        <v>38.737399880714072</v>
      </c>
      <c r="AC208">
        <v>34.672082051924917</v>
      </c>
      <c r="AD208">
        <v>39.256534083719011</v>
      </c>
    </row>
    <row r="209" spans="1:30" x14ac:dyDescent="0.3">
      <c r="A209">
        <v>207</v>
      </c>
      <c r="B209" t="s">
        <v>203</v>
      </c>
      <c r="C209" t="s">
        <v>189</v>
      </c>
      <c r="D209" s="7">
        <v>1</v>
      </c>
      <c r="E209" s="7" t="s">
        <v>21</v>
      </c>
      <c r="F209">
        <v>10</v>
      </c>
      <c r="G209" t="s">
        <v>27</v>
      </c>
      <c r="H209" t="s">
        <v>439</v>
      </c>
      <c r="I209" t="s">
        <v>440</v>
      </c>
      <c r="J209">
        <v>1.5229999999999999</v>
      </c>
      <c r="K209">
        <v>0.33</v>
      </c>
      <c r="L209" s="7">
        <v>1.98</v>
      </c>
      <c r="M209">
        <v>1.82</v>
      </c>
      <c r="N209">
        <v>2.31</v>
      </c>
      <c r="O209">
        <v>1.97</v>
      </c>
      <c r="P209">
        <f t="shared" si="3"/>
        <v>2.02</v>
      </c>
      <c r="Q209">
        <v>4.2546045106662468E-2</v>
      </c>
      <c r="R209">
        <v>0.20955045470346156</v>
      </c>
      <c r="S209">
        <v>0.79748575211559503</v>
      </c>
      <c r="T209">
        <v>0.94443093670486511</v>
      </c>
      <c r="U209">
        <v>0.67871139245366341</v>
      </c>
      <c r="V209">
        <v>2.4829795184846713E-2</v>
      </c>
      <c r="W209">
        <v>507</v>
      </c>
      <c r="X209">
        <v>771</v>
      </c>
      <c r="Y209">
        <v>0.74665334665334671</v>
      </c>
      <c r="Z209">
        <v>0.12688098396569986</v>
      </c>
      <c r="AB209">
        <v>28.897336608184752</v>
      </c>
      <c r="AC209">
        <v>25.864739942667342</v>
      </c>
      <c r="AD209">
        <v>38.10859848567101</v>
      </c>
    </row>
    <row r="210" spans="1:30" x14ac:dyDescent="0.3">
      <c r="A210">
        <v>208</v>
      </c>
      <c r="B210" t="s">
        <v>203</v>
      </c>
      <c r="C210" t="s">
        <v>189</v>
      </c>
      <c r="D210" s="7">
        <v>1</v>
      </c>
      <c r="E210" s="7" t="s">
        <v>21</v>
      </c>
      <c r="F210">
        <v>11</v>
      </c>
      <c r="G210" t="s">
        <v>192</v>
      </c>
      <c r="H210" t="s">
        <v>441</v>
      </c>
      <c r="I210" t="s">
        <v>442</v>
      </c>
      <c r="J210">
        <v>2.7989999999999999</v>
      </c>
      <c r="K210">
        <v>0.59699999999999998</v>
      </c>
      <c r="L210" s="7">
        <v>1.3</v>
      </c>
      <c r="M210">
        <v>1.35</v>
      </c>
      <c r="N210">
        <v>1.28</v>
      </c>
      <c r="O210">
        <v>1.56</v>
      </c>
      <c r="P210">
        <f t="shared" si="3"/>
        <v>1.3725000000000001</v>
      </c>
      <c r="Q210">
        <v>2.9717656916936511E-2</v>
      </c>
      <c r="R210">
        <v>0.1760307643682586</v>
      </c>
      <c r="S210">
        <v>0.90647074983592091</v>
      </c>
      <c r="T210">
        <v>0.95250705161122129</v>
      </c>
      <c r="U210">
        <v>0.75441142520975424</v>
      </c>
      <c r="V210">
        <v>2.1131800466510236E-2</v>
      </c>
      <c r="W210">
        <v>444</v>
      </c>
      <c r="X210">
        <v>672</v>
      </c>
      <c r="Y210">
        <v>0.7499254843517138</v>
      </c>
      <c r="Z210">
        <v>0.1249818877317796</v>
      </c>
      <c r="AB210">
        <v>28.40977696232607</v>
      </c>
      <c r="AC210">
        <v>25.428348428417614</v>
      </c>
      <c r="AD210">
        <v>33.706208016862412</v>
      </c>
    </row>
    <row r="211" spans="1:30" x14ac:dyDescent="0.3">
      <c r="A211">
        <v>209</v>
      </c>
      <c r="B211" t="s">
        <v>203</v>
      </c>
      <c r="C211" t="s">
        <v>189</v>
      </c>
      <c r="D211" s="7">
        <v>1</v>
      </c>
      <c r="E211" s="7" t="s">
        <v>21</v>
      </c>
      <c r="F211">
        <v>15</v>
      </c>
      <c r="G211" t="s">
        <v>22</v>
      </c>
      <c r="H211" t="s">
        <v>443</v>
      </c>
      <c r="I211" t="s">
        <v>444</v>
      </c>
      <c r="J211">
        <v>1.6160000000000001</v>
      </c>
      <c r="K211">
        <v>0.754</v>
      </c>
      <c r="L211" s="7">
        <v>3.86</v>
      </c>
      <c r="M211">
        <v>4.2</v>
      </c>
      <c r="N211">
        <v>4.9000000000000004</v>
      </c>
      <c r="O211">
        <v>4.26</v>
      </c>
      <c r="P211">
        <f t="shared" si="3"/>
        <v>4.3049999999999997</v>
      </c>
      <c r="Q211">
        <v>6.4597509874577047E-2</v>
      </c>
      <c r="R211">
        <v>0.12436166166004213</v>
      </c>
      <c r="S211">
        <v>0.90284087931705148</v>
      </c>
      <c r="T211">
        <v>0.88836871179471688</v>
      </c>
      <c r="U211">
        <v>0.90531348375842191</v>
      </c>
      <c r="V211">
        <v>5.1406745637058784E-2</v>
      </c>
      <c r="W211">
        <v>467</v>
      </c>
      <c r="X211">
        <v>662</v>
      </c>
      <c r="Y211">
        <v>0.8008844408239264</v>
      </c>
      <c r="Z211">
        <v>9.6430143507565722E-2</v>
      </c>
      <c r="AB211">
        <v>21.570598900465551</v>
      </c>
      <c r="AC211">
        <v>19.306903598833117</v>
      </c>
      <c r="AD211">
        <v>21.326207932616036</v>
      </c>
    </row>
    <row r="212" spans="1:30" x14ac:dyDescent="0.3">
      <c r="A212">
        <v>210</v>
      </c>
      <c r="B212" t="s">
        <v>203</v>
      </c>
      <c r="C212" t="s">
        <v>189</v>
      </c>
      <c r="D212" s="7">
        <v>2</v>
      </c>
      <c r="E212" s="7" t="s">
        <v>21</v>
      </c>
      <c r="F212">
        <v>5</v>
      </c>
      <c r="G212" t="s">
        <v>24</v>
      </c>
      <c r="H212" t="s">
        <v>445</v>
      </c>
      <c r="I212" t="s">
        <v>434</v>
      </c>
      <c r="J212">
        <v>2.6989999999999998</v>
      </c>
      <c r="K212">
        <v>0.69</v>
      </c>
      <c r="L212" s="7">
        <v>2.61</v>
      </c>
      <c r="M212">
        <v>2.27</v>
      </c>
      <c r="N212">
        <v>2.4300000000000002</v>
      </c>
      <c r="O212">
        <v>2.29</v>
      </c>
      <c r="P212">
        <f t="shared" si="3"/>
        <v>2.4000000000000004</v>
      </c>
      <c r="Q212">
        <v>3.6968655877866317E-2</v>
      </c>
      <c r="R212">
        <v>0.44124797091591578</v>
      </c>
      <c r="S212">
        <v>1.0570680102176633</v>
      </c>
      <c r="T212">
        <v>0.84321086508549814</v>
      </c>
      <c r="U212">
        <v>0.3553172787079108</v>
      </c>
      <c r="V212">
        <v>7.4063806049606912E-2</v>
      </c>
      <c r="W212">
        <v>610</v>
      </c>
      <c r="X212">
        <v>736</v>
      </c>
      <c r="Y212">
        <v>0.94174777603349025</v>
      </c>
      <c r="Z212">
        <v>2.6065396723339383E-2</v>
      </c>
      <c r="AB212">
        <v>8.6462735880169248</v>
      </c>
      <c r="AC212">
        <v>7.7387339126398311</v>
      </c>
      <c r="AD212">
        <v>21.779784931319007</v>
      </c>
    </row>
    <row r="213" spans="1:30" x14ac:dyDescent="0.3">
      <c r="A213">
        <v>211</v>
      </c>
      <c r="B213" t="s">
        <v>203</v>
      </c>
      <c r="C213" t="s">
        <v>189</v>
      </c>
      <c r="D213" s="7">
        <v>2</v>
      </c>
      <c r="E213" s="7" t="s">
        <v>21</v>
      </c>
      <c r="F213">
        <v>9</v>
      </c>
      <c r="G213" t="s">
        <v>22</v>
      </c>
      <c r="H213" t="s">
        <v>446</v>
      </c>
      <c r="I213" t="s">
        <v>444</v>
      </c>
      <c r="J213">
        <v>4.8460000000000001</v>
      </c>
      <c r="K213">
        <v>2.149</v>
      </c>
      <c r="L213" s="7">
        <v>4.84</v>
      </c>
      <c r="M213">
        <v>4.7300000000000004</v>
      </c>
      <c r="N213">
        <v>5.07</v>
      </c>
      <c r="O213">
        <v>5.36</v>
      </c>
      <c r="P213">
        <f t="shared" si="3"/>
        <v>5</v>
      </c>
      <c r="Q213">
        <v>4.1358388675113593E-2</v>
      </c>
      <c r="R213">
        <v>0.11142512933757277</v>
      </c>
      <c r="S213">
        <v>0.96342364768338318</v>
      </c>
      <c r="T213">
        <v>0.87481612865290892</v>
      </c>
      <c r="U213">
        <v>0.95301685313084539</v>
      </c>
      <c r="V213">
        <v>5.8083218638072233E-2</v>
      </c>
      <c r="W213">
        <v>423</v>
      </c>
      <c r="X213">
        <v>553</v>
      </c>
      <c r="Y213">
        <v>0.86828316610925294</v>
      </c>
      <c r="Z213">
        <v>6.1338618805410042E-2</v>
      </c>
      <c r="AB213">
        <v>14.42611760264878</v>
      </c>
      <c r="AC213">
        <v>12.912137776594777</v>
      </c>
      <c r="AD213">
        <v>13.548698256673948</v>
      </c>
    </row>
    <row r="214" spans="1:30" x14ac:dyDescent="0.3">
      <c r="A214">
        <v>212</v>
      </c>
      <c r="B214" t="s">
        <v>203</v>
      </c>
      <c r="C214" t="s">
        <v>189</v>
      </c>
      <c r="D214" s="7">
        <v>2</v>
      </c>
      <c r="E214" s="7" t="s">
        <v>21</v>
      </c>
      <c r="F214">
        <v>13</v>
      </c>
      <c r="G214" t="s">
        <v>28</v>
      </c>
      <c r="H214" t="s">
        <v>447</v>
      </c>
      <c r="I214" t="s">
        <v>438</v>
      </c>
      <c r="J214">
        <v>2.5760000000000001</v>
      </c>
      <c r="K214">
        <v>1.03</v>
      </c>
      <c r="L214" s="7">
        <v>3.73</v>
      </c>
      <c r="M214">
        <v>5.77</v>
      </c>
      <c r="N214">
        <v>4.4000000000000004</v>
      </c>
      <c r="O214">
        <v>3.17</v>
      </c>
      <c r="P214">
        <f t="shared" si="3"/>
        <v>4.2675000000000001</v>
      </c>
      <c r="Q214">
        <v>2.5887171107152374E-2</v>
      </c>
      <c r="R214">
        <v>6.9294087899491277E-2</v>
      </c>
      <c r="S214">
        <v>0.75891420134415399</v>
      </c>
      <c r="T214">
        <v>0.86986738814217313</v>
      </c>
      <c r="U214">
        <v>1.1593038173673631</v>
      </c>
      <c r="V214">
        <v>6.0546950815727349E-2</v>
      </c>
      <c r="W214">
        <v>495</v>
      </c>
      <c r="X214">
        <v>674</v>
      </c>
      <c r="Y214">
        <v>0.8339695965253171</v>
      </c>
      <c r="Z214">
        <v>7.8849781858626247E-2</v>
      </c>
      <c r="AB214">
        <v>17.817463485893917</v>
      </c>
      <c r="AC214">
        <v>15.947617693975985</v>
      </c>
      <c r="AD214">
        <v>13.756202175018341</v>
      </c>
    </row>
    <row r="215" spans="1:30" x14ac:dyDescent="0.3">
      <c r="A215">
        <v>213</v>
      </c>
      <c r="B215" t="s">
        <v>203</v>
      </c>
      <c r="C215" t="s">
        <v>189</v>
      </c>
      <c r="D215" s="7">
        <v>2</v>
      </c>
      <c r="E215" s="7" t="s">
        <v>21</v>
      </c>
      <c r="F215">
        <v>10</v>
      </c>
      <c r="G215" t="s">
        <v>27</v>
      </c>
      <c r="H215" t="s">
        <v>448</v>
      </c>
      <c r="I215" t="s">
        <v>440</v>
      </c>
      <c r="J215">
        <v>1.6739999999999999</v>
      </c>
      <c r="K215">
        <v>0.40600000000000003</v>
      </c>
      <c r="L215" s="7">
        <v>2.06</v>
      </c>
      <c r="M215">
        <v>2.04</v>
      </c>
      <c r="N215">
        <v>2.2000000000000002</v>
      </c>
      <c r="O215">
        <v>2.5299999999999998</v>
      </c>
      <c r="P215">
        <f t="shared" si="3"/>
        <v>2.2075</v>
      </c>
      <c r="Q215">
        <v>3.0115541605453249E-2</v>
      </c>
      <c r="R215">
        <v>4.3732268807678935E-2</v>
      </c>
      <c r="S215">
        <v>0.66719931810711597</v>
      </c>
      <c r="T215">
        <v>0.89350601315718048</v>
      </c>
      <c r="U215">
        <v>1.3591979910956691</v>
      </c>
      <c r="V215">
        <v>4.890252041385474E-2</v>
      </c>
      <c r="W215">
        <v>475</v>
      </c>
      <c r="X215">
        <v>633</v>
      </c>
      <c r="Y215">
        <v>0.85204479065238559</v>
      </c>
      <c r="Z215">
        <v>6.9537574456452825E-2</v>
      </c>
      <c r="AB215">
        <v>15.970873534471318</v>
      </c>
      <c r="AC215">
        <v>14.294799419268232</v>
      </c>
      <c r="AD215">
        <v>10.517083981079892</v>
      </c>
    </row>
    <row r="216" spans="1:30" x14ac:dyDescent="0.3">
      <c r="A216">
        <v>214</v>
      </c>
      <c r="B216" t="s">
        <v>203</v>
      </c>
      <c r="C216" t="s">
        <v>189</v>
      </c>
      <c r="D216" s="7">
        <v>3</v>
      </c>
      <c r="E216" s="7" t="s">
        <v>21</v>
      </c>
      <c r="F216">
        <v>1</v>
      </c>
      <c r="G216" t="s">
        <v>22</v>
      </c>
      <c r="H216" t="s">
        <v>449</v>
      </c>
      <c r="I216" t="s">
        <v>444</v>
      </c>
      <c r="J216">
        <v>4.08</v>
      </c>
      <c r="K216">
        <v>1.71</v>
      </c>
      <c r="L216" s="7">
        <v>5.28</v>
      </c>
      <c r="M216">
        <v>4.16</v>
      </c>
      <c r="N216">
        <v>4.32</v>
      </c>
      <c r="O216">
        <v>5.54</v>
      </c>
      <c r="P216">
        <f t="shared" si="3"/>
        <v>4.8250000000000002</v>
      </c>
      <c r="Q216">
        <v>4.1045406274328955E-2</v>
      </c>
      <c r="R216">
        <v>0.10586225069996763</v>
      </c>
      <c r="S216">
        <v>0.8500493291434994</v>
      </c>
      <c r="T216">
        <v>0.9413595194225729</v>
      </c>
      <c r="U216">
        <v>0.97525887686481982</v>
      </c>
      <c r="V216">
        <v>2.6244481267783611E-2</v>
      </c>
      <c r="W216">
        <v>438</v>
      </c>
      <c r="X216">
        <v>641</v>
      </c>
      <c r="Y216">
        <v>0.77557692307692305</v>
      </c>
      <c r="Z216">
        <v>0.11037512162718054</v>
      </c>
      <c r="AB216">
        <v>24.795898426985939</v>
      </c>
      <c r="AC216">
        <v>22.193731353355538</v>
      </c>
      <c r="AD216">
        <v>22.756759133228378</v>
      </c>
    </row>
    <row r="217" spans="1:30" x14ac:dyDescent="0.3">
      <c r="A217">
        <v>215</v>
      </c>
      <c r="B217" t="s">
        <v>203</v>
      </c>
      <c r="C217" t="s">
        <v>189</v>
      </c>
      <c r="D217" s="7">
        <v>3</v>
      </c>
      <c r="E217" s="7" t="s">
        <v>21</v>
      </c>
      <c r="F217">
        <v>8</v>
      </c>
      <c r="G217" t="s">
        <v>29</v>
      </c>
      <c r="H217" t="s">
        <v>450</v>
      </c>
      <c r="I217" t="s">
        <v>451</v>
      </c>
      <c r="J217">
        <v>1.9390000000000001</v>
      </c>
      <c r="K217">
        <v>0.66800000000000004</v>
      </c>
      <c r="L217" s="7">
        <v>3.27</v>
      </c>
      <c r="M217">
        <v>3.1</v>
      </c>
      <c r="N217">
        <v>2.5499999999999998</v>
      </c>
      <c r="O217">
        <v>2.75</v>
      </c>
      <c r="P217">
        <f t="shared" si="3"/>
        <v>2.9175</v>
      </c>
      <c r="Q217">
        <v>3.7656697028657107E-2</v>
      </c>
      <c r="R217">
        <v>6.0723424094104396E-2</v>
      </c>
      <c r="S217">
        <v>0.75849677379696745</v>
      </c>
      <c r="T217">
        <v>0.92234605361145927</v>
      </c>
      <c r="U217">
        <v>1.2166437472698934</v>
      </c>
      <c r="V217">
        <v>3.510610608629508E-2</v>
      </c>
      <c r="W217">
        <v>451</v>
      </c>
      <c r="X217">
        <v>683</v>
      </c>
      <c r="Y217">
        <v>0.74951500112790426</v>
      </c>
      <c r="Z217">
        <v>0.12521967056503519</v>
      </c>
      <c r="AB217">
        <v>28.470600451445907</v>
      </c>
      <c r="AC217">
        <v>25.482788658202978</v>
      </c>
      <c r="AD217">
        <v>20.94515236311819</v>
      </c>
    </row>
    <row r="218" spans="1:30" x14ac:dyDescent="0.3">
      <c r="A218">
        <v>216</v>
      </c>
      <c r="B218" t="s">
        <v>203</v>
      </c>
      <c r="C218" t="s">
        <v>189</v>
      </c>
      <c r="D218" s="7">
        <v>3</v>
      </c>
      <c r="E218" s="7" t="s">
        <v>21</v>
      </c>
      <c r="F218">
        <v>6</v>
      </c>
      <c r="G218" t="s">
        <v>25</v>
      </c>
      <c r="H218" t="s">
        <v>452</v>
      </c>
      <c r="I218" t="s">
        <v>432</v>
      </c>
      <c r="J218">
        <v>1.8380000000000001</v>
      </c>
      <c r="K218">
        <v>0.47099999999999997</v>
      </c>
      <c r="L218" s="7">
        <v>1.03</v>
      </c>
      <c r="M218">
        <v>1.33</v>
      </c>
      <c r="N218">
        <v>1.1399999999999999</v>
      </c>
      <c r="O218">
        <v>1.03</v>
      </c>
      <c r="P218">
        <f t="shared" si="3"/>
        <v>1.1325000000000001</v>
      </c>
      <c r="Q218">
        <v>8.2792303991343186E-2</v>
      </c>
      <c r="R218">
        <v>0.1923628850932364</v>
      </c>
      <c r="S218">
        <v>0.81802810524530645</v>
      </c>
      <c r="T218">
        <v>0.97791807381093887</v>
      </c>
      <c r="U218">
        <v>0.71587871792243452</v>
      </c>
      <c r="V218">
        <v>9.6975271982596457E-3</v>
      </c>
      <c r="W218">
        <v>491</v>
      </c>
      <c r="X218">
        <v>748</v>
      </c>
      <c r="Y218">
        <v>0.74525795489650914</v>
      </c>
      <c r="Z218">
        <v>0.1276933796036579</v>
      </c>
      <c r="AB218">
        <v>29.107148905438834</v>
      </c>
      <c r="AC218">
        <v>26.05253292560786</v>
      </c>
      <c r="AD218">
        <v>36.392383616620734</v>
      </c>
    </row>
    <row r="219" spans="1:30" x14ac:dyDescent="0.3">
      <c r="A219">
        <v>217</v>
      </c>
      <c r="B219" t="s">
        <v>203</v>
      </c>
      <c r="C219" t="s">
        <v>189</v>
      </c>
      <c r="D219" s="7">
        <v>3</v>
      </c>
      <c r="E219" s="7" t="s">
        <v>21</v>
      </c>
      <c r="F219">
        <v>5</v>
      </c>
      <c r="G219" t="s">
        <v>23</v>
      </c>
      <c r="H219" t="s">
        <v>453</v>
      </c>
      <c r="I219" t="s">
        <v>430</v>
      </c>
      <c r="J219">
        <v>1.887</v>
      </c>
      <c r="K219">
        <v>0.497</v>
      </c>
      <c r="L219" s="7">
        <v>3.45</v>
      </c>
      <c r="M219">
        <v>3.83</v>
      </c>
      <c r="N219">
        <v>2.83</v>
      </c>
      <c r="O219">
        <v>3.89</v>
      </c>
      <c r="P219">
        <f t="shared" si="3"/>
        <v>3.5</v>
      </c>
      <c r="Q219">
        <v>3.6887211521047264E-2</v>
      </c>
      <c r="R219">
        <v>7.791381224356593E-2</v>
      </c>
      <c r="S219">
        <v>0.7386964798643797</v>
      </c>
      <c r="T219">
        <v>0.8923443206659909</v>
      </c>
      <c r="U219">
        <v>1.1083855455439962</v>
      </c>
      <c r="V219">
        <v>4.946753608196372E-2</v>
      </c>
      <c r="W219">
        <v>395</v>
      </c>
      <c r="X219">
        <v>626</v>
      </c>
      <c r="Y219">
        <v>0.71586461538461543</v>
      </c>
      <c r="Z219">
        <v>0.14516910388052787</v>
      </c>
      <c r="AB219">
        <v>33.800977439735036</v>
      </c>
      <c r="AC219">
        <v>30.253747387453494</v>
      </c>
      <c r="AD219">
        <v>27.295328335055959</v>
      </c>
    </row>
    <row r="220" spans="1:30" x14ac:dyDescent="0.3">
      <c r="A220">
        <v>218</v>
      </c>
      <c r="B220" t="s">
        <v>203</v>
      </c>
      <c r="C220" t="s">
        <v>189</v>
      </c>
      <c r="D220" s="7">
        <v>3</v>
      </c>
      <c r="E220" s="7" t="s">
        <v>21</v>
      </c>
      <c r="F220">
        <v>9</v>
      </c>
      <c r="G220" t="s">
        <v>28</v>
      </c>
      <c r="H220" t="s">
        <v>454</v>
      </c>
      <c r="I220" t="s">
        <v>438</v>
      </c>
      <c r="J220">
        <v>1.8360000000000001</v>
      </c>
      <c r="K220">
        <v>0.58199999999999996</v>
      </c>
      <c r="L220" s="7">
        <v>1.88</v>
      </c>
      <c r="M220">
        <v>2.21</v>
      </c>
      <c r="N220">
        <v>1.86</v>
      </c>
      <c r="O220">
        <v>2</v>
      </c>
      <c r="P220">
        <f t="shared" si="3"/>
        <v>1.9875</v>
      </c>
      <c r="Q220">
        <v>3.811498234440177E-2</v>
      </c>
      <c r="R220">
        <v>4.7611744266424651E-2</v>
      </c>
      <c r="S220">
        <v>0.77266569607113089</v>
      </c>
      <c r="T220">
        <v>0.84118358896329148</v>
      </c>
      <c r="U220">
        <v>1.3222859077628979</v>
      </c>
      <c r="V220">
        <v>7.5109208753439377E-2</v>
      </c>
      <c r="W220">
        <v>424</v>
      </c>
      <c r="X220">
        <v>605</v>
      </c>
      <c r="Y220">
        <v>0.79541518084564444</v>
      </c>
      <c r="Z220">
        <v>9.9406124571337337E-2</v>
      </c>
      <c r="AB220">
        <v>22.240471754139296</v>
      </c>
      <c r="AC220">
        <v>19.90647903142229</v>
      </c>
      <c r="AD220">
        <v>15.054595163235881</v>
      </c>
    </row>
    <row r="221" spans="1:30" x14ac:dyDescent="0.3">
      <c r="A221">
        <v>219</v>
      </c>
      <c r="B221" t="s">
        <v>203</v>
      </c>
      <c r="C221" t="s">
        <v>189</v>
      </c>
      <c r="D221" s="7">
        <v>3</v>
      </c>
      <c r="E221" s="7" t="s">
        <v>21</v>
      </c>
      <c r="F221">
        <v>12</v>
      </c>
      <c r="G221" t="s">
        <v>24</v>
      </c>
      <c r="H221" t="s">
        <v>455</v>
      </c>
      <c r="I221" t="s">
        <v>434</v>
      </c>
      <c r="J221">
        <v>1.05</v>
      </c>
      <c r="K221">
        <v>0.374</v>
      </c>
      <c r="L221" s="7">
        <v>4.0999999999999996</v>
      </c>
      <c r="M221">
        <v>5.57</v>
      </c>
      <c r="N221">
        <v>5.89</v>
      </c>
      <c r="O221">
        <v>4.75</v>
      </c>
      <c r="P221">
        <f t="shared" si="3"/>
        <v>5.0774999999999997</v>
      </c>
      <c r="Q221">
        <v>3.7540628035290409E-2</v>
      </c>
      <c r="R221">
        <v>0.11736969202060892</v>
      </c>
      <c r="S221">
        <v>0.78723688398852731</v>
      </c>
      <c r="T221">
        <v>0.97552121578689255</v>
      </c>
      <c r="U221">
        <v>0.93044403500941186</v>
      </c>
      <c r="V221">
        <v>1.0763281062919548E-2</v>
      </c>
      <c r="W221">
        <v>336</v>
      </c>
      <c r="X221">
        <v>612</v>
      </c>
      <c r="Y221">
        <v>0.62233413068110288</v>
      </c>
      <c r="Z221">
        <v>0.20597638034286914</v>
      </c>
      <c r="AB221">
        <v>52.821452956040929</v>
      </c>
      <c r="AC221">
        <v>47.277927583549271</v>
      </c>
      <c r="AD221">
        <v>50.812220622244126</v>
      </c>
    </row>
    <row r="222" spans="1:30" x14ac:dyDescent="0.3">
      <c r="A222">
        <v>220</v>
      </c>
      <c r="B222" t="s">
        <v>203</v>
      </c>
      <c r="C222" t="s">
        <v>189</v>
      </c>
      <c r="D222" s="7">
        <v>3</v>
      </c>
      <c r="E222" s="7" t="s">
        <v>21</v>
      </c>
      <c r="F222">
        <v>16</v>
      </c>
      <c r="G222" t="s">
        <v>27</v>
      </c>
      <c r="H222" t="s">
        <v>456</v>
      </c>
      <c r="I222" t="s">
        <v>440</v>
      </c>
      <c r="J222">
        <v>1.718</v>
      </c>
      <c r="K222">
        <v>0.42499999999999999</v>
      </c>
      <c r="L222" s="7">
        <v>2.2799999999999998</v>
      </c>
      <c r="M222">
        <v>2.4</v>
      </c>
      <c r="N222">
        <v>2.04</v>
      </c>
      <c r="O222">
        <v>1.93</v>
      </c>
      <c r="P222">
        <f t="shared" si="3"/>
        <v>2.1625000000000001</v>
      </c>
      <c r="Q222">
        <v>2.9135583485635323E-2</v>
      </c>
      <c r="R222">
        <v>7.8613266165601284E-2</v>
      </c>
      <c r="S222">
        <v>0.77689862368376339</v>
      </c>
      <c r="T222">
        <v>0.88551000200310048</v>
      </c>
      <c r="U222">
        <v>1.1045041596048313</v>
      </c>
      <c r="V222">
        <v>5.2806529007816863E-2</v>
      </c>
      <c r="W222">
        <v>506</v>
      </c>
      <c r="X222">
        <v>732</v>
      </c>
      <c r="Y222">
        <v>0.7849310743975586</v>
      </c>
      <c r="Z222">
        <v>0.10516847742421458</v>
      </c>
      <c r="AB222">
        <v>23.56597326873608</v>
      </c>
      <c r="AC222">
        <v>21.09287912764259</v>
      </c>
      <c r="AD222">
        <v>19.09714775106794</v>
      </c>
    </row>
    <row r="223" spans="1:30" x14ac:dyDescent="0.3">
      <c r="A223">
        <v>221</v>
      </c>
      <c r="B223" t="s">
        <v>203</v>
      </c>
      <c r="C223" t="s">
        <v>189</v>
      </c>
      <c r="D223" s="7">
        <v>3</v>
      </c>
      <c r="E223" s="7" t="s">
        <v>21</v>
      </c>
      <c r="F223">
        <v>13</v>
      </c>
      <c r="G223" t="s">
        <v>26</v>
      </c>
      <c r="H223" t="s">
        <v>457</v>
      </c>
      <c r="I223" t="s">
        <v>436</v>
      </c>
      <c r="J223">
        <v>6.1369999999999996</v>
      </c>
      <c r="K223">
        <v>1.6479999999999999</v>
      </c>
      <c r="L223" s="7">
        <v>1.1399999999999999</v>
      </c>
      <c r="M223">
        <v>0.96</v>
      </c>
      <c r="N223">
        <v>1.1100000000000001</v>
      </c>
      <c r="O223">
        <v>1.39</v>
      </c>
      <c r="P223">
        <f t="shared" si="3"/>
        <v>1.1499999999999999</v>
      </c>
      <c r="Q223">
        <v>3.91090214319662E-2</v>
      </c>
      <c r="R223">
        <v>5.9634912010471282E-2</v>
      </c>
      <c r="S223">
        <v>0.69403303009576478</v>
      </c>
      <c r="T223">
        <v>1.0362159367733679</v>
      </c>
      <c r="U223">
        <v>1.2244994171982129</v>
      </c>
      <c r="V223">
        <v>-1.5450267356148776E-2</v>
      </c>
      <c r="W223">
        <v>315</v>
      </c>
      <c r="X223">
        <v>595</v>
      </c>
      <c r="Y223">
        <v>0.59989639989639987</v>
      </c>
      <c r="Z223">
        <v>0.22192374434662446</v>
      </c>
      <c r="AB223">
        <v>58.501014331019164</v>
      </c>
      <c r="AC223">
        <v>52.361366022303173</v>
      </c>
      <c r="AD223">
        <v>42.761446258677395</v>
      </c>
    </row>
    <row r="224" spans="1:30" x14ac:dyDescent="0.3">
      <c r="A224">
        <v>222</v>
      </c>
      <c r="B224" t="s">
        <v>203</v>
      </c>
      <c r="C224" t="s">
        <v>189</v>
      </c>
      <c r="D224" s="7">
        <v>4</v>
      </c>
      <c r="E224" s="7" t="s">
        <v>21</v>
      </c>
      <c r="F224">
        <v>8</v>
      </c>
      <c r="G224" t="s">
        <v>26</v>
      </c>
      <c r="H224" t="s">
        <v>458</v>
      </c>
      <c r="I224" t="s">
        <v>436</v>
      </c>
      <c r="J224">
        <v>12.35</v>
      </c>
      <c r="K224">
        <v>3.1110000000000002</v>
      </c>
      <c r="L224" s="7">
        <v>2.5499999999999998</v>
      </c>
      <c r="M224">
        <v>1.76</v>
      </c>
      <c r="N224">
        <v>2.69</v>
      </c>
      <c r="O224">
        <v>1.9</v>
      </c>
      <c r="P224">
        <f t="shared" si="3"/>
        <v>2.2250000000000001</v>
      </c>
      <c r="Q224">
        <v>3.0709927295034561E-2</v>
      </c>
      <c r="R224">
        <v>4.7080193692477325E-2</v>
      </c>
      <c r="S224">
        <v>0.68615844644555546</v>
      </c>
      <c r="T224">
        <v>0.9511884206907697</v>
      </c>
      <c r="U224">
        <v>1.3271617590953606</v>
      </c>
      <c r="V224">
        <v>2.1733445248818279E-2</v>
      </c>
      <c r="W224">
        <v>471</v>
      </c>
      <c r="X224">
        <v>727</v>
      </c>
      <c r="Y224">
        <v>0.73545242636151731</v>
      </c>
      <c r="Z224">
        <v>0.1334454148968898</v>
      </c>
      <c r="AB224">
        <v>30.614013949943057</v>
      </c>
      <c r="AC224">
        <v>27.401255072745386</v>
      </c>
      <c r="AD224">
        <v>20.646507394413646</v>
      </c>
    </row>
    <row r="225" spans="1:30" x14ac:dyDescent="0.3">
      <c r="A225">
        <v>223</v>
      </c>
      <c r="B225" t="s">
        <v>203</v>
      </c>
      <c r="C225" t="s">
        <v>189</v>
      </c>
      <c r="D225" s="7">
        <v>4</v>
      </c>
      <c r="E225" s="7" t="s">
        <v>21</v>
      </c>
      <c r="F225">
        <v>7</v>
      </c>
      <c r="G225" t="s">
        <v>192</v>
      </c>
      <c r="H225" t="s">
        <v>459</v>
      </c>
      <c r="I225" t="s">
        <v>442</v>
      </c>
      <c r="J225">
        <v>6.7889999999999997</v>
      </c>
      <c r="K225">
        <v>1.9490000000000001</v>
      </c>
      <c r="L225" s="7">
        <v>2.75</v>
      </c>
      <c r="M225">
        <v>2.76</v>
      </c>
      <c r="N225">
        <v>2.1</v>
      </c>
      <c r="O225">
        <v>2.66</v>
      </c>
      <c r="P225">
        <f t="shared" si="3"/>
        <v>2.5674999999999999</v>
      </c>
      <c r="Q225">
        <v>3.27189879591957E-2</v>
      </c>
      <c r="R225">
        <v>8.0465331042166272E-2</v>
      </c>
      <c r="S225">
        <v>0.73864749068836943</v>
      </c>
      <c r="T225">
        <v>0.9313936923586863</v>
      </c>
      <c r="U225">
        <v>1.0943911976472029</v>
      </c>
      <c r="V225">
        <v>3.0866707548973814E-2</v>
      </c>
      <c r="W225">
        <v>374</v>
      </c>
      <c r="X225">
        <v>591</v>
      </c>
      <c r="Y225">
        <v>0.71780964797913949</v>
      </c>
      <c r="Z225">
        <v>0.14399070867212607</v>
      </c>
      <c r="AB225">
        <v>33.4736253946798</v>
      </c>
      <c r="AC225">
        <v>29.960751155931174</v>
      </c>
      <c r="AD225">
        <v>27.376637550030416</v>
      </c>
    </row>
    <row r="226" spans="1:30" x14ac:dyDescent="0.3">
      <c r="A226">
        <v>224</v>
      </c>
      <c r="B226" t="s">
        <v>203</v>
      </c>
      <c r="C226" t="s">
        <v>189</v>
      </c>
      <c r="D226" s="7">
        <v>4</v>
      </c>
      <c r="E226" s="7" t="s">
        <v>21</v>
      </c>
      <c r="F226">
        <v>9</v>
      </c>
      <c r="G226" t="s">
        <v>23</v>
      </c>
      <c r="H226" t="s">
        <v>460</v>
      </c>
      <c r="I226" t="s">
        <v>430</v>
      </c>
      <c r="J226">
        <v>1.7070000000000001</v>
      </c>
      <c r="K226">
        <v>0.51600000000000001</v>
      </c>
      <c r="L226" s="7">
        <v>2.85</v>
      </c>
      <c r="M226">
        <v>2.6</v>
      </c>
      <c r="N226">
        <v>3.05</v>
      </c>
      <c r="O226">
        <v>2.69</v>
      </c>
      <c r="P226">
        <f t="shared" si="3"/>
        <v>2.7974999999999999</v>
      </c>
      <c r="Q226">
        <v>4.4795386074056316E-2</v>
      </c>
      <c r="R226">
        <v>6.6287100358096027E-2</v>
      </c>
      <c r="S226">
        <v>0.70049548596017364</v>
      </c>
      <c r="T226">
        <v>0.97424501742002989</v>
      </c>
      <c r="U226">
        <v>1.1785709782071065</v>
      </c>
      <c r="V226">
        <v>1.1331806641271674E-2</v>
      </c>
      <c r="W226">
        <v>332</v>
      </c>
      <c r="X226">
        <v>611</v>
      </c>
      <c r="Y226">
        <v>0.61588902900378317</v>
      </c>
      <c r="Z226">
        <v>0.21049753204475888</v>
      </c>
      <c r="AB226">
        <v>54.402461733017027</v>
      </c>
      <c r="AC226">
        <v>48.692995640554827</v>
      </c>
      <c r="AD226">
        <v>41.315284816047935</v>
      </c>
    </row>
    <row r="227" spans="1:30" x14ac:dyDescent="0.3">
      <c r="A227">
        <v>225</v>
      </c>
      <c r="B227" t="s">
        <v>203</v>
      </c>
      <c r="C227" t="s">
        <v>189</v>
      </c>
      <c r="D227" s="7">
        <v>4</v>
      </c>
      <c r="E227" s="7" t="s">
        <v>21</v>
      </c>
      <c r="F227">
        <v>11</v>
      </c>
      <c r="G227" t="s">
        <v>24</v>
      </c>
      <c r="H227" t="s">
        <v>461</v>
      </c>
      <c r="I227" t="s">
        <v>434</v>
      </c>
      <c r="J227">
        <v>0.59699999999999998</v>
      </c>
      <c r="K227">
        <v>0.182</v>
      </c>
      <c r="L227" s="7">
        <v>2.99</v>
      </c>
      <c r="M227">
        <v>3.73</v>
      </c>
      <c r="N227">
        <v>5.13</v>
      </c>
      <c r="O227">
        <v>3.39</v>
      </c>
      <c r="P227">
        <f t="shared" si="3"/>
        <v>3.8100000000000005</v>
      </c>
      <c r="Q227">
        <v>4.0545934359977741E-2</v>
      </c>
      <c r="R227">
        <v>5.2394890744024286E-2</v>
      </c>
      <c r="S227">
        <v>0.85267980878858185</v>
      </c>
      <c r="T227">
        <v>0.79126575885253281</v>
      </c>
      <c r="U227">
        <v>1.2807110609143986</v>
      </c>
      <c r="V227">
        <v>0.10167762747753535</v>
      </c>
      <c r="W227">
        <v>550</v>
      </c>
      <c r="X227">
        <v>659</v>
      </c>
      <c r="Y227">
        <v>0.94814122048164595</v>
      </c>
      <c r="Z227">
        <v>2.3126972041465743E-2</v>
      </c>
      <c r="AB227">
        <v>8.2281934122603211</v>
      </c>
      <c r="AC227">
        <v>7.3645158430382658</v>
      </c>
      <c r="AD227">
        <v>5.7503335981030483</v>
      </c>
    </row>
    <row r="228" spans="1:30" x14ac:dyDescent="0.3">
      <c r="A228">
        <v>226</v>
      </c>
      <c r="B228" t="s">
        <v>203</v>
      </c>
      <c r="C228" t="s">
        <v>189</v>
      </c>
      <c r="D228" s="7">
        <v>4</v>
      </c>
      <c r="E228" s="7" t="s">
        <v>21</v>
      </c>
      <c r="F228">
        <v>12</v>
      </c>
      <c r="G228" t="s">
        <v>22</v>
      </c>
      <c r="H228" t="s">
        <v>462</v>
      </c>
      <c r="I228" t="s">
        <v>444</v>
      </c>
      <c r="J228">
        <v>0.30299999999999999</v>
      </c>
      <c r="K228">
        <v>0.11</v>
      </c>
      <c r="L228" s="7">
        <v>5.46</v>
      </c>
      <c r="M228">
        <v>4.49</v>
      </c>
      <c r="N228">
        <v>4.3600000000000003</v>
      </c>
      <c r="O228">
        <v>5.13</v>
      </c>
      <c r="P228">
        <f t="shared" si="3"/>
        <v>4.8599999999999994</v>
      </c>
      <c r="Q228">
        <v>4.1677758471832617E-2</v>
      </c>
      <c r="R228">
        <v>4.8057438250196635E-2</v>
      </c>
      <c r="S228">
        <v>0.86196616692846051</v>
      </c>
      <c r="T228">
        <v>0.78380436243113716</v>
      </c>
      <c r="U228">
        <v>1.3182393834167627</v>
      </c>
      <c r="V228">
        <v>0.10579232369218748</v>
      </c>
      <c r="W228">
        <v>505</v>
      </c>
      <c r="X228">
        <v>609</v>
      </c>
      <c r="Y228">
        <v>0.94185222672064772</v>
      </c>
      <c r="Z228">
        <v>2.6017231128686945E-2</v>
      </c>
      <c r="AB228">
        <v>8.6393419537232106</v>
      </c>
      <c r="AC228">
        <v>7.7325295039466653</v>
      </c>
      <c r="AD228">
        <v>5.8658007045007379</v>
      </c>
    </row>
    <row r="229" spans="1:30" x14ac:dyDescent="0.3">
      <c r="A229">
        <v>227</v>
      </c>
      <c r="B229" t="s">
        <v>203</v>
      </c>
      <c r="C229" t="s">
        <v>189</v>
      </c>
      <c r="D229" s="7">
        <v>4</v>
      </c>
      <c r="E229" s="7" t="s">
        <v>21</v>
      </c>
      <c r="F229">
        <v>16</v>
      </c>
      <c r="G229" t="s">
        <v>27</v>
      </c>
      <c r="H229" t="s">
        <v>463</v>
      </c>
      <c r="I229" t="s">
        <v>440</v>
      </c>
      <c r="J229">
        <v>1.698</v>
      </c>
      <c r="K229">
        <v>0.505</v>
      </c>
      <c r="L229" s="7">
        <v>1.96</v>
      </c>
      <c r="M229">
        <v>1.69</v>
      </c>
      <c r="N229">
        <v>2.34</v>
      </c>
      <c r="O229">
        <v>2.2799999999999998</v>
      </c>
      <c r="P229">
        <f t="shared" si="3"/>
        <v>2.0674999999999999</v>
      </c>
      <c r="Q229">
        <v>2.5950302444725969E-2</v>
      </c>
      <c r="R229">
        <v>9.9016457677763625E-2</v>
      </c>
      <c r="S229">
        <v>0.7738406219989602</v>
      </c>
      <c r="T229">
        <v>0.88784308439308957</v>
      </c>
      <c r="U229">
        <v>1.0042926146488333</v>
      </c>
      <c r="V229">
        <v>5.1663783775435526E-2</v>
      </c>
      <c r="W229">
        <v>481</v>
      </c>
      <c r="X229">
        <v>702</v>
      </c>
      <c r="Y229">
        <v>0.7779216503895533</v>
      </c>
      <c r="Z229">
        <v>0.10906414146397486</v>
      </c>
      <c r="AB229">
        <v>24.483331652820166</v>
      </c>
      <c r="AC229">
        <v>21.913966635636982</v>
      </c>
      <c r="AD229">
        <v>21.820300494094088</v>
      </c>
    </row>
    <row r="230" spans="1:30" x14ac:dyDescent="0.3">
      <c r="A230">
        <v>228</v>
      </c>
      <c r="B230" t="s">
        <v>203</v>
      </c>
      <c r="C230" t="s">
        <v>189</v>
      </c>
      <c r="D230" s="7">
        <v>4</v>
      </c>
      <c r="E230" s="7" t="s">
        <v>21</v>
      </c>
      <c r="F230">
        <v>13</v>
      </c>
      <c r="G230" t="s">
        <v>28</v>
      </c>
      <c r="H230" t="s">
        <v>464</v>
      </c>
      <c r="I230" t="s">
        <v>438</v>
      </c>
      <c r="J230" t="s">
        <v>225</v>
      </c>
      <c r="K230" t="s">
        <v>225</v>
      </c>
      <c r="L230" t="s">
        <v>225</v>
      </c>
      <c r="M230" t="s">
        <v>225</v>
      </c>
      <c r="N230" t="s">
        <v>225</v>
      </c>
      <c r="O230" t="s">
        <v>225</v>
      </c>
      <c r="P230" t="s">
        <v>225</v>
      </c>
      <c r="Q230">
        <v>4.1284572071154955E-2</v>
      </c>
      <c r="R230">
        <v>5.1571071707168556E-2</v>
      </c>
      <c r="S230">
        <v>0.81809250507514708</v>
      </c>
      <c r="T230">
        <v>0.86121900200125145</v>
      </c>
      <c r="U230">
        <v>1.287593843352383</v>
      </c>
      <c r="V230">
        <v>6.4886396436513172E-2</v>
      </c>
      <c r="W230">
        <v>444</v>
      </c>
      <c r="X230">
        <v>619</v>
      </c>
      <c r="Y230">
        <v>0.81423948220064724</v>
      </c>
      <c r="Z230">
        <v>8.9247842651603335E-2</v>
      </c>
      <c r="AB230">
        <v>19.995114290787235</v>
      </c>
      <c r="AC230">
        <v>17.896750608040978</v>
      </c>
      <c r="AD230">
        <v>13.899375723516156</v>
      </c>
    </row>
    <row r="231" spans="1:30" x14ac:dyDescent="0.3">
      <c r="A231">
        <v>229</v>
      </c>
      <c r="B231" t="s">
        <v>204</v>
      </c>
      <c r="C231" t="s">
        <v>189</v>
      </c>
      <c r="D231" s="7">
        <v>1</v>
      </c>
      <c r="E231" s="7" t="s">
        <v>21</v>
      </c>
      <c r="F231">
        <v>1</v>
      </c>
      <c r="G231" t="s">
        <v>29</v>
      </c>
      <c r="H231" t="s">
        <v>465</v>
      </c>
      <c r="I231" t="s">
        <v>451</v>
      </c>
      <c r="J231">
        <v>0.505</v>
      </c>
      <c r="K231">
        <v>0.128</v>
      </c>
      <c r="L231" s="7">
        <v>2.71</v>
      </c>
      <c r="M231">
        <v>2.87</v>
      </c>
      <c r="N231">
        <v>2.86</v>
      </c>
      <c r="O231">
        <v>2.25</v>
      </c>
      <c r="P231">
        <f t="shared" si="3"/>
        <v>2.6724999999999999</v>
      </c>
      <c r="Q231">
        <v>2.1093199877478899E-2</v>
      </c>
      <c r="R231">
        <v>8.3173381767519775E-2</v>
      </c>
      <c r="S231">
        <v>0.78579864852009751</v>
      </c>
      <c r="T231">
        <v>0.63942913668490831</v>
      </c>
      <c r="U231">
        <v>1.080015640068678</v>
      </c>
      <c r="V231">
        <v>0.19420757824078705</v>
      </c>
      <c r="W231">
        <v>585</v>
      </c>
      <c r="X231">
        <v>704</v>
      </c>
      <c r="Y231">
        <v>0.95186280955511715</v>
      </c>
      <c r="Z231">
        <v>2.1425641265353963E-2</v>
      </c>
      <c r="AB231">
        <v>7.9905851887947179</v>
      </c>
      <c r="AC231">
        <v>7.1518355027809104</v>
      </c>
      <c r="AD231">
        <v>6.6219740135671801</v>
      </c>
    </row>
    <row r="232" spans="1:30" x14ac:dyDescent="0.3">
      <c r="A232">
        <v>230</v>
      </c>
      <c r="B232" t="s">
        <v>204</v>
      </c>
      <c r="C232" t="s">
        <v>189</v>
      </c>
      <c r="D232" s="7">
        <v>1</v>
      </c>
      <c r="E232" s="7" t="s">
        <v>21</v>
      </c>
      <c r="F232">
        <v>4</v>
      </c>
      <c r="G232" t="s">
        <v>192</v>
      </c>
      <c r="H232" t="s">
        <v>466</v>
      </c>
      <c r="I232" t="s">
        <v>442</v>
      </c>
      <c r="J232">
        <v>4.7359999999999998</v>
      </c>
      <c r="K232">
        <v>1.323</v>
      </c>
      <c r="L232" s="7">
        <v>2.7</v>
      </c>
      <c r="M232">
        <v>2.4700000000000002</v>
      </c>
      <c r="N232">
        <v>2.52</v>
      </c>
      <c r="O232">
        <v>2.44</v>
      </c>
      <c r="P232">
        <f t="shared" si="3"/>
        <v>2.5324999999999998</v>
      </c>
      <c r="Q232">
        <v>2.8489516717633834E-2</v>
      </c>
      <c r="R232">
        <v>9.1912969698227279E-2</v>
      </c>
      <c r="S232">
        <v>0.82804113145489577</v>
      </c>
      <c r="T232">
        <v>0.85230212453914922</v>
      </c>
      <c r="U232">
        <v>1.0366232016612797</v>
      </c>
      <c r="V232">
        <v>6.9406428987321772E-2</v>
      </c>
      <c r="W232">
        <v>406</v>
      </c>
      <c r="X232">
        <v>564</v>
      </c>
      <c r="Y232">
        <v>0.82392554065151924</v>
      </c>
      <c r="Z232">
        <v>8.411203435301888E-2</v>
      </c>
      <c r="AB232">
        <v>18.904267323927122</v>
      </c>
      <c r="AC232">
        <v>16.920375522524793</v>
      </c>
      <c r="AD232">
        <v>16.322590016708485</v>
      </c>
    </row>
    <row r="233" spans="1:30" x14ac:dyDescent="0.3">
      <c r="A233">
        <v>231</v>
      </c>
      <c r="B233" t="s">
        <v>204</v>
      </c>
      <c r="C233" t="s">
        <v>189</v>
      </c>
      <c r="D233" s="7">
        <v>1</v>
      </c>
      <c r="E233" s="7" t="s">
        <v>21</v>
      </c>
      <c r="F233">
        <v>5</v>
      </c>
      <c r="G233" t="s">
        <v>24</v>
      </c>
      <c r="H233" t="s">
        <v>467</v>
      </c>
      <c r="I233" t="s">
        <v>434</v>
      </c>
      <c r="J233">
        <v>0.70399999999999996</v>
      </c>
      <c r="K233">
        <v>0.27800000000000002</v>
      </c>
      <c r="L233" s="7">
        <v>4.0999999999999996</v>
      </c>
      <c r="M233">
        <v>4.13</v>
      </c>
      <c r="N233">
        <v>4.0599999999999996</v>
      </c>
      <c r="O233">
        <v>3.67</v>
      </c>
      <c r="P233">
        <f t="shared" si="3"/>
        <v>3.9899999999999998</v>
      </c>
      <c r="Q233">
        <v>3.2979005660788478E-2</v>
      </c>
      <c r="R233">
        <v>6.4211136300489136E-2</v>
      </c>
      <c r="S233">
        <v>0.73469868723048737</v>
      </c>
      <c r="T233">
        <v>0.82061293691433645</v>
      </c>
      <c r="U233">
        <v>1.1923896446035844</v>
      </c>
      <c r="V233">
        <v>8.5861640688358096E-2</v>
      </c>
      <c r="W233">
        <v>522</v>
      </c>
      <c r="X233">
        <v>715</v>
      </c>
      <c r="Y233">
        <v>0.83590462833099577</v>
      </c>
      <c r="Z233">
        <v>7.7843270111629143E-2</v>
      </c>
      <c r="AB233">
        <v>17.613153517234267</v>
      </c>
      <c r="AC233">
        <v>15.764747225842754</v>
      </c>
      <c r="AD233">
        <v>13.221137316303865</v>
      </c>
    </row>
    <row r="234" spans="1:30" x14ac:dyDescent="0.3">
      <c r="A234">
        <v>232</v>
      </c>
      <c r="B234" t="s">
        <v>204</v>
      </c>
      <c r="C234" t="s">
        <v>189</v>
      </c>
      <c r="D234" s="7">
        <v>1</v>
      </c>
      <c r="E234" s="7" t="s">
        <v>21</v>
      </c>
      <c r="F234">
        <v>12</v>
      </c>
      <c r="G234" t="s">
        <v>28</v>
      </c>
      <c r="H234" t="s">
        <v>468</v>
      </c>
      <c r="I234" t="s">
        <v>438</v>
      </c>
      <c r="J234">
        <v>3.17</v>
      </c>
      <c r="K234">
        <v>1.167</v>
      </c>
      <c r="L234" s="7">
        <v>7.84</v>
      </c>
      <c r="M234">
        <v>8.17</v>
      </c>
      <c r="N234">
        <v>6.32</v>
      </c>
      <c r="O234">
        <v>6.65</v>
      </c>
      <c r="P234">
        <f t="shared" si="3"/>
        <v>7.2449999999999992</v>
      </c>
      <c r="Q234">
        <v>3.0135577683541567E-2</v>
      </c>
      <c r="R234">
        <v>7.2149789999740144E-2</v>
      </c>
      <c r="S234">
        <v>0.79481725889652033</v>
      </c>
      <c r="T234">
        <v>0.80027100624768033</v>
      </c>
      <c r="U234">
        <v>1.1417649286326739</v>
      </c>
      <c r="V234">
        <v>9.6762917274153204E-2</v>
      </c>
      <c r="W234">
        <v>485</v>
      </c>
      <c r="X234">
        <v>619</v>
      </c>
      <c r="Y234">
        <v>0.89723226530357802</v>
      </c>
      <c r="Z234">
        <v>4.7095117176292306E-2</v>
      </c>
      <c r="AB234">
        <v>11.923033542107568</v>
      </c>
      <c r="AC234">
        <v>10.671696783616206</v>
      </c>
      <c r="AD234">
        <v>9.3466671781521153</v>
      </c>
    </row>
    <row r="235" spans="1:30" x14ac:dyDescent="0.3">
      <c r="A235">
        <v>233</v>
      </c>
      <c r="B235" t="s">
        <v>204</v>
      </c>
      <c r="C235" t="s">
        <v>189</v>
      </c>
      <c r="D235" s="7">
        <v>1</v>
      </c>
      <c r="E235" s="7" t="s">
        <v>21</v>
      </c>
      <c r="F235">
        <v>16</v>
      </c>
      <c r="G235" t="s">
        <v>23</v>
      </c>
      <c r="H235" t="s">
        <v>469</v>
      </c>
      <c r="I235" t="s">
        <v>430</v>
      </c>
      <c r="J235">
        <v>3.43</v>
      </c>
      <c r="K235">
        <v>0.98799999999999999</v>
      </c>
      <c r="L235" s="7">
        <v>1.78</v>
      </c>
      <c r="M235">
        <v>1.82</v>
      </c>
      <c r="N235">
        <v>1.32</v>
      </c>
      <c r="O235">
        <v>1.56</v>
      </c>
      <c r="P235">
        <f t="shared" si="3"/>
        <v>1.62</v>
      </c>
      <c r="Q235">
        <v>3.0100566311645562E-2</v>
      </c>
      <c r="R235">
        <v>9.8772648290666398E-2</v>
      </c>
      <c r="S235">
        <v>0.74869276862317036</v>
      </c>
      <c r="T235">
        <v>0.8845204020467673</v>
      </c>
      <c r="U235">
        <v>1.0053633017785857</v>
      </c>
      <c r="V235">
        <v>5.3292145349913035E-2</v>
      </c>
      <c r="W235">
        <v>432</v>
      </c>
      <c r="X235">
        <v>673</v>
      </c>
      <c r="Y235">
        <v>0.73449501318353771</v>
      </c>
      <c r="Z235">
        <v>0.13401114848396831</v>
      </c>
      <c r="AB235">
        <v>30.764238013912937</v>
      </c>
      <c r="AC235">
        <v>27.535713295007046</v>
      </c>
      <c r="AD235">
        <v>27.388818794453393</v>
      </c>
    </row>
    <row r="236" spans="1:30" x14ac:dyDescent="0.3">
      <c r="A236">
        <v>234</v>
      </c>
      <c r="B236" t="s">
        <v>204</v>
      </c>
      <c r="C236" t="s">
        <v>189</v>
      </c>
      <c r="D236" s="7">
        <v>1</v>
      </c>
      <c r="E236" s="7" t="s">
        <v>21</v>
      </c>
      <c r="F236">
        <v>15</v>
      </c>
      <c r="G236" t="s">
        <v>27</v>
      </c>
      <c r="H236" t="s">
        <v>470</v>
      </c>
      <c r="I236" t="s">
        <v>440</v>
      </c>
      <c r="J236">
        <v>2.0699999999999998</v>
      </c>
      <c r="K236">
        <v>0.5</v>
      </c>
      <c r="L236" s="7">
        <v>1.7</v>
      </c>
      <c r="M236">
        <v>2.2999999999999998</v>
      </c>
      <c r="N236">
        <v>1.98</v>
      </c>
      <c r="O236">
        <v>2.16</v>
      </c>
      <c r="P236">
        <f t="shared" si="3"/>
        <v>2.0350000000000001</v>
      </c>
      <c r="Q236">
        <v>2.8809098163713995E-2</v>
      </c>
      <c r="R236">
        <v>9.681667122795487E-2</v>
      </c>
      <c r="S236">
        <v>0.7845350944017101</v>
      </c>
      <c r="T236">
        <v>0.86534469266757474</v>
      </c>
      <c r="U236">
        <v>1.0140498534466582</v>
      </c>
      <c r="V236">
        <v>6.2810865593103463E-2</v>
      </c>
      <c r="W236">
        <v>525</v>
      </c>
      <c r="X236">
        <v>747</v>
      </c>
      <c r="Y236">
        <v>0.80461538461538462</v>
      </c>
      <c r="Z236">
        <v>9.4411667775581326E-2</v>
      </c>
      <c r="AB236">
        <v>21.121946955663802</v>
      </c>
      <c r="AC236">
        <v>18.905333557897389</v>
      </c>
      <c r="AD236">
        <v>18.643396568363944</v>
      </c>
    </row>
    <row r="237" spans="1:30" x14ac:dyDescent="0.3">
      <c r="A237">
        <v>235</v>
      </c>
      <c r="B237" t="s">
        <v>204</v>
      </c>
      <c r="C237" t="s">
        <v>189</v>
      </c>
      <c r="D237" s="7">
        <v>1</v>
      </c>
      <c r="E237" s="7" t="s">
        <v>21</v>
      </c>
      <c r="F237">
        <v>13</v>
      </c>
      <c r="G237" t="s">
        <v>22</v>
      </c>
      <c r="H237" t="s">
        <v>471</v>
      </c>
      <c r="I237" t="s">
        <v>444</v>
      </c>
      <c r="J237">
        <v>1.7130000000000001</v>
      </c>
      <c r="K237">
        <v>0.71</v>
      </c>
      <c r="L237" s="7">
        <v>6.08</v>
      </c>
      <c r="M237">
        <v>5.0599999999999996</v>
      </c>
      <c r="N237">
        <v>5.85</v>
      </c>
      <c r="O237">
        <v>5.8</v>
      </c>
      <c r="P237">
        <f t="shared" si="3"/>
        <v>5.6975000000000007</v>
      </c>
      <c r="Q237">
        <v>3.5594309775611656E-2</v>
      </c>
      <c r="R237">
        <v>6.2410041153117289E-2</v>
      </c>
      <c r="S237">
        <v>0.87609878024303856</v>
      </c>
      <c r="T237">
        <v>0.83177773877711647</v>
      </c>
      <c r="U237">
        <v>1.2047455310456856</v>
      </c>
      <c r="V237">
        <v>7.9992707024260229E-2</v>
      </c>
      <c r="W237">
        <v>585</v>
      </c>
      <c r="X237">
        <v>770</v>
      </c>
      <c r="Y237">
        <v>0.87006209935897438</v>
      </c>
      <c r="Z237">
        <v>6.0449749167060633E-2</v>
      </c>
      <c r="AB237">
        <v>14.263208429504544</v>
      </c>
      <c r="AC237">
        <v>12.766322719629136</v>
      </c>
      <c r="AD237">
        <v>10.596696472945887</v>
      </c>
    </row>
    <row r="238" spans="1:30" x14ac:dyDescent="0.3">
      <c r="A238">
        <v>236</v>
      </c>
      <c r="B238" t="s">
        <v>204</v>
      </c>
      <c r="C238" t="s">
        <v>189</v>
      </c>
      <c r="D238" s="7">
        <v>2</v>
      </c>
      <c r="E238" s="7" t="s">
        <v>21</v>
      </c>
      <c r="F238">
        <v>3</v>
      </c>
      <c r="G238" t="s">
        <v>27</v>
      </c>
      <c r="H238" t="s">
        <v>472</v>
      </c>
      <c r="I238" t="s">
        <v>440</v>
      </c>
      <c r="J238">
        <v>1.1359999999999999</v>
      </c>
      <c r="K238">
        <v>0.32600000000000001</v>
      </c>
      <c r="L238" s="7">
        <v>2.21</v>
      </c>
      <c r="M238">
        <v>2.2599999999999998</v>
      </c>
      <c r="N238">
        <v>2.2599999999999998</v>
      </c>
      <c r="O238">
        <v>2.2999999999999998</v>
      </c>
      <c r="P238">
        <f t="shared" si="3"/>
        <v>2.2574999999999998</v>
      </c>
      <c r="Q238">
        <v>2.2824549231584102E-2</v>
      </c>
      <c r="R238">
        <v>5.2083524228215661E-2</v>
      </c>
      <c r="S238">
        <v>0.68737518458924396</v>
      </c>
      <c r="T238">
        <v>0.84920660758097233</v>
      </c>
      <c r="U238">
        <v>1.2832996369382614</v>
      </c>
      <c r="V238">
        <v>7.0986635296440573E-2</v>
      </c>
      <c r="W238">
        <v>491</v>
      </c>
      <c r="X238">
        <v>699</v>
      </c>
      <c r="Y238">
        <v>0.80411654342787764</v>
      </c>
      <c r="Z238">
        <v>9.4681002868951952E-2</v>
      </c>
      <c r="AB238">
        <v>21.181546737546185</v>
      </c>
      <c r="AC238">
        <v>18.958678902776562</v>
      </c>
      <c r="AD238">
        <v>14.773384451357598</v>
      </c>
    </row>
    <row r="239" spans="1:30" x14ac:dyDescent="0.3">
      <c r="A239">
        <v>237</v>
      </c>
      <c r="B239" t="s">
        <v>204</v>
      </c>
      <c r="C239" t="s">
        <v>189</v>
      </c>
      <c r="D239" s="7">
        <v>2</v>
      </c>
      <c r="E239" s="7" t="s">
        <v>21</v>
      </c>
      <c r="F239">
        <v>4</v>
      </c>
      <c r="G239" t="s">
        <v>25</v>
      </c>
      <c r="H239" t="s">
        <v>473</v>
      </c>
      <c r="I239" t="s">
        <v>432</v>
      </c>
      <c r="J239" t="s">
        <v>225</v>
      </c>
      <c r="K239" t="s">
        <v>225</v>
      </c>
      <c r="L239" t="s">
        <v>225</v>
      </c>
      <c r="M239" t="s">
        <v>225</v>
      </c>
      <c r="N239" t="s">
        <v>225</v>
      </c>
      <c r="O239" t="s">
        <v>225</v>
      </c>
      <c r="P239" t="s">
        <v>225</v>
      </c>
      <c r="Q239">
        <v>4.2027205793618329E-2</v>
      </c>
      <c r="R239">
        <v>7.6087713452276523E-2</v>
      </c>
      <c r="S239">
        <v>0.89723373151115748</v>
      </c>
      <c r="T239">
        <v>0.91085094906724873</v>
      </c>
      <c r="U239">
        <v>1.1186854668914299</v>
      </c>
      <c r="V239">
        <v>4.0552684820277449E-2</v>
      </c>
      <c r="W239">
        <v>452</v>
      </c>
      <c r="X239">
        <v>643</v>
      </c>
      <c r="Y239">
        <v>0.80463218528741143</v>
      </c>
      <c r="Z239">
        <v>9.4402599638036516E-2</v>
      </c>
      <c r="AB239">
        <v>21.119941739691846</v>
      </c>
      <c r="AC239">
        <v>18.903538770426621</v>
      </c>
      <c r="AD239">
        <v>16.897992626073187</v>
      </c>
    </row>
    <row r="240" spans="1:30" x14ac:dyDescent="0.3">
      <c r="A240">
        <v>238</v>
      </c>
      <c r="B240" t="s">
        <v>204</v>
      </c>
      <c r="C240" t="s">
        <v>189</v>
      </c>
      <c r="D240" s="7">
        <v>2</v>
      </c>
      <c r="E240" s="7" t="s">
        <v>21</v>
      </c>
      <c r="F240">
        <v>5</v>
      </c>
      <c r="G240" t="s">
        <v>24</v>
      </c>
      <c r="H240" t="s">
        <v>474</v>
      </c>
      <c r="I240" t="s">
        <v>434</v>
      </c>
      <c r="J240">
        <v>2.879</v>
      </c>
      <c r="K240">
        <v>1.3759999999999999</v>
      </c>
      <c r="L240" s="7">
        <v>3.94</v>
      </c>
      <c r="M240">
        <v>3.98</v>
      </c>
      <c r="N240">
        <v>5.54</v>
      </c>
      <c r="O240">
        <v>5.48</v>
      </c>
      <c r="P240">
        <f t="shared" si="3"/>
        <v>4.7350000000000003</v>
      </c>
      <c r="Q240">
        <v>4.178462451919629E-2</v>
      </c>
      <c r="R240">
        <v>5.7376973318188473E-2</v>
      </c>
      <c r="S240">
        <v>0.7695313126424147</v>
      </c>
      <c r="T240">
        <v>0.82027850736545127</v>
      </c>
      <c r="U240">
        <v>1.2412623648714483</v>
      </c>
      <c r="V240">
        <v>8.6038667523598927E-2</v>
      </c>
      <c r="W240">
        <v>433</v>
      </c>
      <c r="X240">
        <v>626</v>
      </c>
      <c r="Y240">
        <v>0.791654339250493</v>
      </c>
      <c r="Z240">
        <v>0.10146440341625516</v>
      </c>
      <c r="AB240">
        <v>22.709627732815292</v>
      </c>
      <c r="AC240">
        <v>20.326400822216652</v>
      </c>
      <c r="AD240">
        <v>16.375587786649572</v>
      </c>
    </row>
    <row r="241" spans="1:30" x14ac:dyDescent="0.3">
      <c r="A241">
        <v>239</v>
      </c>
      <c r="B241" t="s">
        <v>204</v>
      </c>
      <c r="C241" t="s">
        <v>189</v>
      </c>
      <c r="D241" s="7">
        <v>2</v>
      </c>
      <c r="E241" s="7" t="s">
        <v>21</v>
      </c>
      <c r="F241">
        <v>9</v>
      </c>
      <c r="G241" t="s">
        <v>22</v>
      </c>
      <c r="H241" t="s">
        <v>475</v>
      </c>
      <c r="I241" t="s">
        <v>444</v>
      </c>
      <c r="J241">
        <v>2.556</v>
      </c>
      <c r="K241">
        <v>0.99</v>
      </c>
      <c r="L241" s="7">
        <v>4.8499999999999996</v>
      </c>
      <c r="M241">
        <v>6.74</v>
      </c>
      <c r="N241">
        <v>5.1100000000000003</v>
      </c>
      <c r="O241">
        <v>4.74</v>
      </c>
      <c r="P241">
        <f t="shared" si="3"/>
        <v>5.3599999999999994</v>
      </c>
      <c r="Q241">
        <v>3.6226119422605958E-2</v>
      </c>
      <c r="R241">
        <v>7.0139725149145585E-2</v>
      </c>
      <c r="S241">
        <v>0.7892135146894268</v>
      </c>
      <c r="T241">
        <v>0.82986999166982955</v>
      </c>
      <c r="U241">
        <v>1.1540359402857581</v>
      </c>
      <c r="V241">
        <v>8.0989939338208874E-2</v>
      </c>
      <c r="W241">
        <v>513</v>
      </c>
      <c r="X241">
        <v>704</v>
      </c>
      <c r="Y241">
        <v>0.83430856892395344</v>
      </c>
      <c r="Z241">
        <v>7.8673295889655326E-2</v>
      </c>
      <c r="AB241">
        <v>17.781556198945914</v>
      </c>
      <c r="AC241">
        <v>15.915478383762288</v>
      </c>
      <c r="AD241">
        <v>13.791146209728405</v>
      </c>
    </row>
    <row r="242" spans="1:30" x14ac:dyDescent="0.3">
      <c r="A242">
        <v>240</v>
      </c>
      <c r="B242" t="s">
        <v>204</v>
      </c>
      <c r="C242" t="s">
        <v>189</v>
      </c>
      <c r="D242" s="7">
        <v>2</v>
      </c>
      <c r="E242" s="7" t="s">
        <v>21</v>
      </c>
      <c r="F242">
        <v>16</v>
      </c>
      <c r="G242" t="s">
        <v>192</v>
      </c>
      <c r="H242" t="s">
        <v>476</v>
      </c>
      <c r="I242" t="s">
        <v>442</v>
      </c>
      <c r="J242">
        <v>2.4260000000000002</v>
      </c>
      <c r="K242">
        <v>0.61</v>
      </c>
      <c r="L242" s="7">
        <v>2.1800000000000002</v>
      </c>
      <c r="M242">
        <v>2.13</v>
      </c>
      <c r="N242">
        <v>2.0299999999999998</v>
      </c>
      <c r="O242">
        <v>2.12</v>
      </c>
      <c r="P242">
        <f t="shared" si="3"/>
        <v>2.1150000000000002</v>
      </c>
      <c r="Q242">
        <v>2.7930306044661714E-2</v>
      </c>
      <c r="R242">
        <v>4.3455267381149312E-2</v>
      </c>
      <c r="S242">
        <v>0.68678035684330074</v>
      </c>
      <c r="T242">
        <v>0.90017325575878915</v>
      </c>
      <c r="U242">
        <v>1.3619575735095029</v>
      </c>
      <c r="V242">
        <v>4.5673894140173116E-2</v>
      </c>
      <c r="W242">
        <v>379</v>
      </c>
      <c r="X242">
        <v>598</v>
      </c>
      <c r="Y242">
        <v>0.72499999999999998</v>
      </c>
      <c r="Z242">
        <v>0.13966199342900631</v>
      </c>
      <c r="AB242">
        <v>32.284593066192279</v>
      </c>
      <c r="AC242">
        <v>28.896508026095297</v>
      </c>
      <c r="AD242">
        <v>21.216892940089572</v>
      </c>
    </row>
    <row r="243" spans="1:30" x14ac:dyDescent="0.3">
      <c r="A243">
        <v>241</v>
      </c>
      <c r="B243" t="s">
        <v>204</v>
      </c>
      <c r="C243" t="s">
        <v>189</v>
      </c>
      <c r="D243" s="7">
        <v>2</v>
      </c>
      <c r="E243" s="7" t="s">
        <v>21</v>
      </c>
      <c r="F243">
        <v>15</v>
      </c>
      <c r="G243" t="s">
        <v>28</v>
      </c>
      <c r="H243" t="s">
        <v>477</v>
      </c>
      <c r="I243" t="s">
        <v>438</v>
      </c>
      <c r="J243">
        <v>3.6859999999999999</v>
      </c>
      <c r="K243">
        <v>1.492</v>
      </c>
      <c r="L243" s="7">
        <v>2.63</v>
      </c>
      <c r="M243">
        <v>3.1</v>
      </c>
      <c r="N243">
        <v>3.52</v>
      </c>
      <c r="O243">
        <v>2.77</v>
      </c>
      <c r="P243">
        <f t="shared" si="3"/>
        <v>3.0049999999999999</v>
      </c>
      <c r="Q243">
        <v>4.2723604845470366E-2</v>
      </c>
      <c r="R243">
        <v>3.5587748185625871E-2</v>
      </c>
      <c r="S243">
        <v>0.47222695265556119</v>
      </c>
      <c r="T243">
        <v>0.86448809929082338</v>
      </c>
      <c r="U243">
        <v>1.4486994911053479</v>
      </c>
      <c r="V243">
        <v>6.3240980930140384E-2</v>
      </c>
      <c r="W243">
        <v>368</v>
      </c>
      <c r="X243">
        <v>558</v>
      </c>
      <c r="Y243">
        <v>0.75448256779192024</v>
      </c>
      <c r="Z243">
        <v>0.12235079008220957</v>
      </c>
      <c r="AB243">
        <v>27.741019906419552</v>
      </c>
      <c r="AC243">
        <v>24.829775419670959</v>
      </c>
      <c r="AD243">
        <v>17.13935538192673</v>
      </c>
    </row>
    <row r="244" spans="1:30" x14ac:dyDescent="0.3">
      <c r="A244">
        <v>242</v>
      </c>
      <c r="B244" t="s">
        <v>204</v>
      </c>
      <c r="C244" t="s">
        <v>189</v>
      </c>
      <c r="D244" s="7">
        <v>2</v>
      </c>
      <c r="E244" s="7" t="s">
        <v>21</v>
      </c>
      <c r="F244">
        <v>14</v>
      </c>
      <c r="G244" t="s">
        <v>23</v>
      </c>
      <c r="H244" t="s">
        <v>478</v>
      </c>
      <c r="I244" t="s">
        <v>430</v>
      </c>
      <c r="J244">
        <v>1.8280000000000001</v>
      </c>
      <c r="K244">
        <v>0.57799999999999996</v>
      </c>
      <c r="L244" s="7">
        <v>2.71</v>
      </c>
      <c r="M244">
        <v>3.1</v>
      </c>
      <c r="N244">
        <v>2.4500000000000002</v>
      </c>
      <c r="O244">
        <v>3.57</v>
      </c>
      <c r="P244">
        <f t="shared" si="3"/>
        <v>2.9575000000000005</v>
      </c>
      <c r="Q244">
        <v>4.5230779118717632E-2</v>
      </c>
      <c r="R244">
        <v>6.9246192568085035E-2</v>
      </c>
      <c r="S244">
        <v>0.67709119342549651</v>
      </c>
      <c r="T244">
        <v>0.9679063120048147</v>
      </c>
      <c r="U244">
        <v>1.1596041008502194</v>
      </c>
      <c r="V244">
        <v>1.4166677968942824E-2</v>
      </c>
      <c r="W244">
        <v>300</v>
      </c>
      <c r="X244">
        <v>588</v>
      </c>
      <c r="Y244">
        <v>0.58285639275400369</v>
      </c>
      <c r="Z244">
        <v>0.23443843583639815</v>
      </c>
      <c r="AB244">
        <v>63.159199037911662</v>
      </c>
      <c r="AC244">
        <v>56.530624619997788</v>
      </c>
      <c r="AD244">
        <v>48.749935067105788</v>
      </c>
    </row>
    <row r="245" spans="1:30" x14ac:dyDescent="0.3">
      <c r="A245">
        <v>243</v>
      </c>
      <c r="B245" t="s">
        <v>204</v>
      </c>
      <c r="C245" t="s">
        <v>189</v>
      </c>
      <c r="D245">
        <v>3</v>
      </c>
      <c r="E245" s="7" t="s">
        <v>21</v>
      </c>
      <c r="F245">
        <v>3</v>
      </c>
      <c r="G245" t="s">
        <v>29</v>
      </c>
      <c r="H245" t="s">
        <v>479</v>
      </c>
      <c r="I245" t="s">
        <v>451</v>
      </c>
      <c r="J245">
        <v>0.375</v>
      </c>
      <c r="K245">
        <v>0.121</v>
      </c>
      <c r="L245" s="7">
        <v>3.64</v>
      </c>
      <c r="M245">
        <v>4.51</v>
      </c>
      <c r="N245">
        <v>4.33</v>
      </c>
      <c r="O245">
        <v>4.3499999999999996</v>
      </c>
      <c r="P245">
        <f t="shared" si="3"/>
        <v>4.2074999999999996</v>
      </c>
      <c r="Q245">
        <v>3.0177784374975099E-2</v>
      </c>
      <c r="R245">
        <v>6.9344490170130321E-2</v>
      </c>
      <c r="S245">
        <v>0.74074226241261987</v>
      </c>
      <c r="T245">
        <v>0.86313443924688871</v>
      </c>
      <c r="U245">
        <v>1.1589880404850106</v>
      </c>
      <c r="V245">
        <v>6.3921554602511269E-2</v>
      </c>
      <c r="W245">
        <v>366</v>
      </c>
      <c r="X245">
        <v>539</v>
      </c>
      <c r="Y245">
        <v>0.77690875232774659</v>
      </c>
      <c r="Z245">
        <v>0.10962998594506243</v>
      </c>
      <c r="AB245">
        <v>24.618003435245157</v>
      </c>
      <c r="AC245">
        <v>22.034505412386029</v>
      </c>
      <c r="AD245">
        <v>19.011848822154437</v>
      </c>
    </row>
    <row r="246" spans="1:30" x14ac:dyDescent="0.3">
      <c r="A246">
        <v>244</v>
      </c>
      <c r="B246" t="s">
        <v>204</v>
      </c>
      <c r="C246" t="s">
        <v>189</v>
      </c>
      <c r="D246">
        <v>3</v>
      </c>
      <c r="E246" s="7" t="s">
        <v>21</v>
      </c>
      <c r="F246">
        <v>6</v>
      </c>
      <c r="G246" t="s">
        <v>24</v>
      </c>
      <c r="H246" t="s">
        <v>480</v>
      </c>
      <c r="I246" t="s">
        <v>434</v>
      </c>
      <c r="J246">
        <v>1.3169999999999999</v>
      </c>
      <c r="K246">
        <v>0.53</v>
      </c>
      <c r="L246" s="7">
        <v>4.0999999999999996</v>
      </c>
      <c r="M246">
        <v>4.03</v>
      </c>
      <c r="N246">
        <v>3.51</v>
      </c>
      <c r="O246">
        <v>3.65</v>
      </c>
      <c r="P246">
        <f t="shared" si="3"/>
        <v>3.8224999999999998</v>
      </c>
      <c r="Q246">
        <v>3.4248770299045148E-2</v>
      </c>
      <c r="R246">
        <v>5.7328200655454305E-2</v>
      </c>
      <c r="S246">
        <v>0.68105671048331495</v>
      </c>
      <c r="T246">
        <v>0.84465182221713919</v>
      </c>
      <c r="U246">
        <v>1.2416316890934673</v>
      </c>
      <c r="V246">
        <v>7.3322276673226841E-2</v>
      </c>
      <c r="W246">
        <v>492</v>
      </c>
      <c r="X246">
        <v>667</v>
      </c>
      <c r="Y246">
        <v>0.8445344129554655</v>
      </c>
      <c r="Z246">
        <v>7.3382649169153713E-2</v>
      </c>
      <c r="AB246">
        <v>16.721471991399277</v>
      </c>
      <c r="AC246">
        <v>14.96663457966446</v>
      </c>
      <c r="AD246">
        <v>12.054004992891095</v>
      </c>
    </row>
    <row r="247" spans="1:30" x14ac:dyDescent="0.3">
      <c r="A247">
        <v>245</v>
      </c>
      <c r="B247" t="s">
        <v>204</v>
      </c>
      <c r="C247" t="s">
        <v>189</v>
      </c>
      <c r="D247">
        <v>3</v>
      </c>
      <c r="E247" s="7" t="s">
        <v>21</v>
      </c>
      <c r="F247">
        <v>9</v>
      </c>
      <c r="G247" t="s">
        <v>27</v>
      </c>
      <c r="H247" t="s">
        <v>481</v>
      </c>
      <c r="I247" t="s">
        <v>440</v>
      </c>
      <c r="J247">
        <v>1.8089999999999999</v>
      </c>
      <c r="K247">
        <v>0.46500000000000002</v>
      </c>
      <c r="L247" s="7">
        <v>1.32</v>
      </c>
      <c r="M247">
        <v>1.62</v>
      </c>
      <c r="N247">
        <v>1.55</v>
      </c>
      <c r="O247">
        <v>1.69</v>
      </c>
      <c r="P247">
        <f t="shared" si="3"/>
        <v>1.5449999999999999</v>
      </c>
      <c r="Q247">
        <v>2.655190117142012E-2</v>
      </c>
      <c r="R247">
        <v>6.326435727841212E-2</v>
      </c>
      <c r="S247">
        <v>0.71091427592489254</v>
      </c>
      <c r="T247">
        <v>0.83237700227767641</v>
      </c>
      <c r="U247">
        <v>1.1988408997297761</v>
      </c>
      <c r="V247">
        <v>7.9679927405480744E-2</v>
      </c>
      <c r="W247">
        <v>474</v>
      </c>
      <c r="X247">
        <v>678</v>
      </c>
      <c r="Y247">
        <v>0.80027309968138371</v>
      </c>
      <c r="Z247">
        <v>9.6761781202110875E-2</v>
      </c>
      <c r="AB247">
        <v>21.64475302378418</v>
      </c>
      <c r="AC247">
        <v>19.373275905831182</v>
      </c>
      <c r="AD247">
        <v>16.160005810777729</v>
      </c>
    </row>
    <row r="248" spans="1:30" x14ac:dyDescent="0.3">
      <c r="A248">
        <v>246</v>
      </c>
      <c r="B248" t="s">
        <v>204</v>
      </c>
      <c r="C248" t="s">
        <v>189</v>
      </c>
      <c r="D248">
        <v>3</v>
      </c>
      <c r="E248" s="7" t="s">
        <v>21</v>
      </c>
      <c r="F248">
        <v>12</v>
      </c>
      <c r="G248" t="s">
        <v>26</v>
      </c>
      <c r="H248" t="s">
        <v>482</v>
      </c>
      <c r="I248" t="s">
        <v>436</v>
      </c>
      <c r="J248">
        <v>1.27</v>
      </c>
      <c r="K248">
        <v>0.32200000000000001</v>
      </c>
      <c r="L248" s="7">
        <v>1.33</v>
      </c>
      <c r="M248">
        <v>1.28</v>
      </c>
      <c r="N248">
        <v>1.57</v>
      </c>
      <c r="O248">
        <v>1.35</v>
      </c>
      <c r="P248">
        <f t="shared" si="3"/>
        <v>1.3825000000000003</v>
      </c>
      <c r="Q248">
        <v>2.7390589985827669E-2</v>
      </c>
      <c r="R248">
        <v>4.0180377665468489E-2</v>
      </c>
      <c r="S248">
        <v>0.64122843306645905</v>
      </c>
      <c r="T248">
        <v>0.98478033286655275</v>
      </c>
      <c r="U248">
        <v>1.3959859855255958</v>
      </c>
      <c r="V248">
        <v>6.6606333229019734E-3</v>
      </c>
      <c r="W248">
        <v>335</v>
      </c>
      <c r="X248">
        <v>600</v>
      </c>
      <c r="Y248">
        <v>0.63824286081811155</v>
      </c>
      <c r="Z248">
        <v>0.19501403437665377</v>
      </c>
      <c r="AB248">
        <v>49.083865647436269</v>
      </c>
      <c r="AC248">
        <v>43.932629803031702</v>
      </c>
      <c r="AD248">
        <v>31.470681123271337</v>
      </c>
    </row>
    <row r="249" spans="1:30" x14ac:dyDescent="0.3">
      <c r="A249">
        <v>247</v>
      </c>
      <c r="B249" t="s">
        <v>204</v>
      </c>
      <c r="C249" t="s">
        <v>189</v>
      </c>
      <c r="D249">
        <v>3</v>
      </c>
      <c r="E249" s="7" t="s">
        <v>21</v>
      </c>
      <c r="F249">
        <v>16</v>
      </c>
      <c r="G249" t="s">
        <v>22</v>
      </c>
      <c r="H249" t="s">
        <v>483</v>
      </c>
      <c r="I249" t="s">
        <v>444</v>
      </c>
      <c r="J249">
        <v>4.7130000000000001</v>
      </c>
      <c r="K249">
        <v>1.605</v>
      </c>
      <c r="L249" s="7">
        <v>5.03</v>
      </c>
      <c r="M249">
        <v>5.39</v>
      </c>
      <c r="N249">
        <v>4.4400000000000004</v>
      </c>
      <c r="O249">
        <v>3.99</v>
      </c>
      <c r="P249">
        <f t="shared" si="3"/>
        <v>4.7125000000000004</v>
      </c>
      <c r="Q249">
        <v>2.0073005896476648E-2</v>
      </c>
      <c r="R249">
        <v>0.11849749643778151</v>
      </c>
      <c r="S249">
        <v>0.90860359367161025</v>
      </c>
      <c r="T249">
        <v>0.86847381548787161</v>
      </c>
      <c r="U249">
        <v>0.92629082513693495</v>
      </c>
      <c r="V249">
        <v>6.124327101142122E-2</v>
      </c>
      <c r="W249">
        <v>309</v>
      </c>
      <c r="X249">
        <v>466</v>
      </c>
      <c r="Y249">
        <v>0.75833885941644563</v>
      </c>
      <c r="Z249">
        <v>0.12013668897225711</v>
      </c>
      <c r="AB249">
        <v>27.184310779298876</v>
      </c>
      <c r="AC249">
        <v>24.331490984856917</v>
      </c>
      <c r="AD249">
        <v>26.267658411989512</v>
      </c>
    </row>
    <row r="250" spans="1:30" x14ac:dyDescent="0.3">
      <c r="A250">
        <v>248</v>
      </c>
      <c r="B250" t="s">
        <v>204</v>
      </c>
      <c r="C250" t="s">
        <v>189</v>
      </c>
      <c r="D250">
        <v>3</v>
      </c>
      <c r="E250" s="7" t="s">
        <v>21</v>
      </c>
      <c r="F250">
        <v>15</v>
      </c>
      <c r="G250" t="s">
        <v>192</v>
      </c>
      <c r="H250" t="s">
        <v>484</v>
      </c>
      <c r="I250" t="s">
        <v>442</v>
      </c>
      <c r="J250">
        <v>4.6319999999999997</v>
      </c>
      <c r="K250">
        <v>1.2749999999999999</v>
      </c>
      <c r="L250" s="7">
        <v>2.66</v>
      </c>
      <c r="M250">
        <v>2.88</v>
      </c>
      <c r="N250">
        <v>2.64</v>
      </c>
      <c r="O250">
        <v>2.66</v>
      </c>
      <c r="P250">
        <f t="shared" si="3"/>
        <v>2.71</v>
      </c>
      <c r="Q250">
        <v>2.5839816880582737E-2</v>
      </c>
      <c r="R250">
        <v>0.14151381110547331</v>
      </c>
      <c r="S250">
        <v>0.70988393296508112</v>
      </c>
      <c r="T250">
        <v>0.88025558244817548</v>
      </c>
      <c r="U250">
        <v>0.84920117290157437</v>
      </c>
      <c r="V250">
        <v>5.5391212018925044E-2</v>
      </c>
      <c r="W250">
        <v>451</v>
      </c>
      <c r="X250">
        <v>533</v>
      </c>
      <c r="Y250">
        <v>0.96915833695494713</v>
      </c>
      <c r="Z250">
        <v>1.3605263972708618E-2</v>
      </c>
      <c r="AB250">
        <v>6.940440548470848</v>
      </c>
      <c r="AC250">
        <v>6.2118600297535007</v>
      </c>
      <c r="AD250">
        <v>7.3149451837526831</v>
      </c>
    </row>
    <row r="251" spans="1:30" x14ac:dyDescent="0.3">
      <c r="A251">
        <v>249</v>
      </c>
      <c r="B251" t="s">
        <v>204</v>
      </c>
      <c r="C251" t="s">
        <v>189</v>
      </c>
      <c r="D251">
        <v>3</v>
      </c>
      <c r="E251" s="7" t="s">
        <v>21</v>
      </c>
      <c r="F251">
        <v>13</v>
      </c>
      <c r="G251" t="s">
        <v>23</v>
      </c>
      <c r="H251" t="s">
        <v>485</v>
      </c>
      <c r="I251" t="s">
        <v>430</v>
      </c>
      <c r="J251">
        <v>1.784</v>
      </c>
      <c r="K251">
        <v>0.57999999999999996</v>
      </c>
      <c r="L251" s="7">
        <v>3.35</v>
      </c>
      <c r="M251">
        <v>3.79</v>
      </c>
      <c r="N251">
        <v>2.38</v>
      </c>
      <c r="O251">
        <v>2.95</v>
      </c>
      <c r="P251">
        <f t="shared" si="3"/>
        <v>3.1174999999999997</v>
      </c>
      <c r="Q251">
        <v>4.566336603574616E-2</v>
      </c>
      <c r="R251">
        <v>3.5023356427698736E-2</v>
      </c>
      <c r="S251">
        <v>0.56818105975358735</v>
      </c>
      <c r="T251">
        <v>0.89495073159563165</v>
      </c>
      <c r="U251">
        <v>1.4556422360887038</v>
      </c>
      <c r="V251">
        <v>4.8200872600408895E-2</v>
      </c>
      <c r="W251">
        <v>373</v>
      </c>
      <c r="X251">
        <v>618</v>
      </c>
      <c r="Y251">
        <v>0.69029720279720275</v>
      </c>
      <c r="Z251">
        <v>0.16096388644394236</v>
      </c>
      <c r="AB251">
        <v>38.340080137223566</v>
      </c>
      <c r="AC251">
        <v>34.316462292869076</v>
      </c>
      <c r="AD251">
        <v>23.574791553917169</v>
      </c>
    </row>
    <row r="252" spans="1:30" x14ac:dyDescent="0.3">
      <c r="A252">
        <v>250</v>
      </c>
      <c r="B252" t="s">
        <v>204</v>
      </c>
      <c r="C252" t="s">
        <v>189</v>
      </c>
      <c r="D252">
        <v>4</v>
      </c>
      <c r="E252" s="7" t="s">
        <v>21</v>
      </c>
      <c r="F252">
        <v>1</v>
      </c>
      <c r="G252" t="s">
        <v>24</v>
      </c>
      <c r="H252" t="s">
        <v>486</v>
      </c>
      <c r="I252" t="s">
        <v>434</v>
      </c>
      <c r="J252">
        <v>1.7410000000000001</v>
      </c>
      <c r="K252">
        <v>0.78</v>
      </c>
      <c r="L252" s="7">
        <v>6.44</v>
      </c>
      <c r="M252">
        <v>5.61</v>
      </c>
      <c r="N252">
        <v>5.05</v>
      </c>
      <c r="O252">
        <v>4.59</v>
      </c>
      <c r="P252">
        <f t="shared" si="3"/>
        <v>5.4225000000000003</v>
      </c>
      <c r="Q252">
        <v>3.2499152403819336E-2</v>
      </c>
      <c r="R252">
        <v>6.3710250343807229E-2</v>
      </c>
      <c r="S252">
        <v>0.78773588862366151</v>
      </c>
      <c r="T252">
        <v>0.82455744590578739</v>
      </c>
      <c r="U252">
        <v>1.1957906883927591</v>
      </c>
      <c r="V252">
        <v>8.377908220162418E-2</v>
      </c>
      <c r="W252">
        <v>476</v>
      </c>
      <c r="X252">
        <v>636</v>
      </c>
      <c r="Y252">
        <v>0.85690366415918462</v>
      </c>
      <c r="Z252">
        <v>6.7068000102210382E-2</v>
      </c>
      <c r="AB252">
        <v>15.497593534285107</v>
      </c>
      <c r="AC252">
        <v>13.871182087764049</v>
      </c>
      <c r="AD252">
        <v>11.600008448308003</v>
      </c>
    </row>
    <row r="253" spans="1:30" x14ac:dyDescent="0.3">
      <c r="A253">
        <v>251</v>
      </c>
      <c r="B253" t="s">
        <v>204</v>
      </c>
      <c r="C253" t="s">
        <v>189</v>
      </c>
      <c r="D253">
        <v>4</v>
      </c>
      <c r="E253" s="7" t="s">
        <v>21</v>
      </c>
      <c r="F253">
        <v>2</v>
      </c>
      <c r="G253" t="s">
        <v>22</v>
      </c>
      <c r="H253" t="s">
        <v>487</v>
      </c>
      <c r="I253" t="s">
        <v>444</v>
      </c>
      <c r="J253">
        <v>1.5880000000000001</v>
      </c>
      <c r="K253">
        <v>0.64600000000000002</v>
      </c>
      <c r="L253" s="7">
        <v>5.08</v>
      </c>
      <c r="M253">
        <v>5.04</v>
      </c>
      <c r="N253">
        <v>4.54</v>
      </c>
      <c r="O253">
        <v>4.6900000000000004</v>
      </c>
      <c r="P253">
        <f t="shared" si="3"/>
        <v>4.8375000000000004</v>
      </c>
      <c r="Q253">
        <v>3.6817221604326801E-2</v>
      </c>
      <c r="R253">
        <v>3.2077888284993854E-2</v>
      </c>
      <c r="S253">
        <v>0.70035530171131677</v>
      </c>
      <c r="T253">
        <v>0.81578201303140274</v>
      </c>
      <c r="U253">
        <v>1.4937942294265525</v>
      </c>
      <c r="V253">
        <v>8.8425874561122969E-2</v>
      </c>
      <c r="W253">
        <v>424</v>
      </c>
      <c r="X253">
        <v>595</v>
      </c>
      <c r="Y253">
        <v>0.81564405240627824</v>
      </c>
      <c r="Z253">
        <v>8.8499326297151543E-2</v>
      </c>
      <c r="AB253">
        <v>19.83427471226431</v>
      </c>
      <c r="AC253">
        <v>17.752789394609223</v>
      </c>
      <c r="AD253">
        <v>11.884360673574353</v>
      </c>
    </row>
    <row r="254" spans="1:30" x14ac:dyDescent="0.3">
      <c r="A254">
        <v>252</v>
      </c>
      <c r="B254" t="s">
        <v>204</v>
      </c>
      <c r="C254" t="s">
        <v>189</v>
      </c>
      <c r="D254">
        <v>4</v>
      </c>
      <c r="E254" s="7" t="s">
        <v>21</v>
      </c>
      <c r="F254">
        <v>9</v>
      </c>
      <c r="G254" t="s">
        <v>27</v>
      </c>
      <c r="H254" t="s">
        <v>488</v>
      </c>
      <c r="I254" t="s">
        <v>440</v>
      </c>
      <c r="J254">
        <v>1.1439999999999999</v>
      </c>
      <c r="K254">
        <v>0.253</v>
      </c>
      <c r="L254" s="7">
        <v>1.32</v>
      </c>
      <c r="M254">
        <v>1.77</v>
      </c>
      <c r="N254">
        <v>1.47</v>
      </c>
      <c r="O254">
        <v>1.71</v>
      </c>
      <c r="P254">
        <f t="shared" si="3"/>
        <v>1.5674999999999999</v>
      </c>
      <c r="Q254">
        <v>2.883139091824544E-2</v>
      </c>
      <c r="R254">
        <v>4.867983209943149E-2</v>
      </c>
      <c r="S254">
        <v>0.78192931712387581</v>
      </c>
      <c r="T254">
        <v>0.77890043966914269</v>
      </c>
      <c r="U254">
        <v>1.3126509283552052</v>
      </c>
      <c r="V254">
        <v>0.10851805101241398</v>
      </c>
      <c r="W254">
        <v>464</v>
      </c>
      <c r="X254">
        <v>635</v>
      </c>
      <c r="Y254">
        <v>0.83652934742982132</v>
      </c>
      <c r="Z254">
        <v>7.7518818355792343E-2</v>
      </c>
      <c r="AB254">
        <v>17.547537516918347</v>
      </c>
      <c r="AC254">
        <v>15.706016702514477</v>
      </c>
      <c r="AD254">
        <v>11.965113011571654</v>
      </c>
    </row>
    <row r="255" spans="1:30" x14ac:dyDescent="0.3">
      <c r="A255">
        <v>253</v>
      </c>
      <c r="B255" t="s">
        <v>204</v>
      </c>
      <c r="C255" t="s">
        <v>189</v>
      </c>
      <c r="D255">
        <v>4</v>
      </c>
      <c r="E255" s="7" t="s">
        <v>21</v>
      </c>
      <c r="F255">
        <v>10</v>
      </c>
      <c r="G255" t="s">
        <v>23</v>
      </c>
      <c r="H255" t="s">
        <v>489</v>
      </c>
      <c r="I255" t="s">
        <v>430</v>
      </c>
      <c r="J255">
        <v>2.48</v>
      </c>
      <c r="K255">
        <v>0.75800000000000001</v>
      </c>
      <c r="L255" s="7">
        <v>2.39</v>
      </c>
      <c r="M255">
        <v>2.93</v>
      </c>
      <c r="N255">
        <v>2.41</v>
      </c>
      <c r="O255">
        <v>2.58</v>
      </c>
      <c r="P255">
        <f t="shared" si="3"/>
        <v>2.5775000000000001</v>
      </c>
      <c r="Q255">
        <v>3.5008739462029322E-2</v>
      </c>
      <c r="R255">
        <v>6.5783556891123626E-2</v>
      </c>
      <c r="S255">
        <v>0.68273232619958346</v>
      </c>
      <c r="T255">
        <v>0.94257438737870158</v>
      </c>
      <c r="U255">
        <v>1.1818826480861815</v>
      </c>
      <c r="V255">
        <v>2.5684365521878725E-2</v>
      </c>
      <c r="W255">
        <v>367</v>
      </c>
      <c r="X255">
        <v>659</v>
      </c>
      <c r="Y255">
        <v>0.63675213675213671</v>
      </c>
      <c r="Z255">
        <v>0.19602958899786882</v>
      </c>
      <c r="AB255">
        <v>49.424412196968746</v>
      </c>
      <c r="AC255">
        <v>44.237433465531637</v>
      </c>
      <c r="AD255">
        <v>37.429632744981205</v>
      </c>
    </row>
    <row r="256" spans="1:30" x14ac:dyDescent="0.3">
      <c r="A256">
        <v>254</v>
      </c>
      <c r="B256" t="s">
        <v>204</v>
      </c>
      <c r="C256" t="s">
        <v>189</v>
      </c>
      <c r="D256">
        <v>4</v>
      </c>
      <c r="E256" s="7" t="s">
        <v>21</v>
      </c>
      <c r="F256">
        <v>16</v>
      </c>
      <c r="G256" t="s">
        <v>25</v>
      </c>
      <c r="H256" t="s">
        <v>490</v>
      </c>
      <c r="I256" t="s">
        <v>432</v>
      </c>
      <c r="J256">
        <v>0.66600000000000004</v>
      </c>
      <c r="K256">
        <v>0.16800000000000001</v>
      </c>
      <c r="L256" s="7">
        <v>1.32</v>
      </c>
      <c r="M256">
        <v>1.18</v>
      </c>
      <c r="N256">
        <v>1.47</v>
      </c>
      <c r="O256">
        <v>1.39</v>
      </c>
      <c r="P256">
        <f t="shared" si="3"/>
        <v>1.3399999999999999</v>
      </c>
      <c r="Q256">
        <v>4.526088279866354E-2</v>
      </c>
      <c r="R256">
        <v>6.3240790452992399E-2</v>
      </c>
      <c r="S256">
        <v>0.75637145935725603</v>
      </c>
      <c r="T256">
        <v>0.85945753041695405</v>
      </c>
      <c r="U256">
        <v>1.1990027104155498</v>
      </c>
      <c r="V256">
        <v>6.5775578850419514E-2</v>
      </c>
      <c r="W256">
        <v>462</v>
      </c>
      <c r="X256">
        <v>654</v>
      </c>
      <c r="Y256">
        <v>0.8086361491269467</v>
      </c>
      <c r="Z256">
        <v>9.2246847944908839E-2</v>
      </c>
      <c r="AB256">
        <v>20.645880870510279</v>
      </c>
      <c r="AC256">
        <v>18.479225987271874</v>
      </c>
      <c r="AD256">
        <v>15.412163647959854</v>
      </c>
    </row>
    <row r="257" spans="1:30" x14ac:dyDescent="0.3">
      <c r="A257">
        <v>255</v>
      </c>
      <c r="B257" t="s">
        <v>205</v>
      </c>
      <c r="C257" t="s">
        <v>189</v>
      </c>
      <c r="D257">
        <v>1</v>
      </c>
      <c r="E257" s="7" t="s">
        <v>21</v>
      </c>
      <c r="F257">
        <v>4</v>
      </c>
      <c r="G257" t="s">
        <v>28</v>
      </c>
      <c r="H257" t="s">
        <v>491</v>
      </c>
      <c r="I257" t="s">
        <v>438</v>
      </c>
      <c r="J257">
        <v>0.19600000000000001</v>
      </c>
      <c r="K257">
        <v>6.3E-2</v>
      </c>
      <c r="L257" s="7">
        <v>2.56</v>
      </c>
      <c r="M257">
        <v>2.82</v>
      </c>
      <c r="N257">
        <v>2.54</v>
      </c>
      <c r="O257">
        <v>2.4</v>
      </c>
      <c r="P257">
        <f t="shared" si="3"/>
        <v>2.58</v>
      </c>
      <c r="Q257">
        <v>4.9512815260991223E-2</v>
      </c>
      <c r="R257">
        <v>6.9844466118065426E-2</v>
      </c>
      <c r="S257">
        <v>0.74026665647308698</v>
      </c>
      <c r="T257">
        <v>0.74703549266346048</v>
      </c>
      <c r="U257">
        <v>1.1558679979906736</v>
      </c>
      <c r="V257">
        <v>0.12665876377803253</v>
      </c>
      <c r="W257">
        <v>393</v>
      </c>
      <c r="X257">
        <v>469</v>
      </c>
      <c r="Y257">
        <v>0.95962773842859483</v>
      </c>
      <c r="Z257">
        <v>1.7897207064808143E-2</v>
      </c>
      <c r="AB257">
        <v>7.5082240174067838</v>
      </c>
      <c r="AC257">
        <v>6.7200788465750225</v>
      </c>
      <c r="AD257">
        <v>5.8138808741629724</v>
      </c>
    </row>
    <row r="258" spans="1:30" x14ac:dyDescent="0.3">
      <c r="A258">
        <v>256</v>
      </c>
      <c r="B258" t="s">
        <v>205</v>
      </c>
      <c r="C258" t="s">
        <v>189</v>
      </c>
      <c r="D258">
        <v>1</v>
      </c>
      <c r="E258" s="7" t="s">
        <v>21</v>
      </c>
      <c r="F258">
        <v>11</v>
      </c>
      <c r="G258" t="s">
        <v>26</v>
      </c>
      <c r="H258" t="s">
        <v>492</v>
      </c>
      <c r="I258" t="s">
        <v>436</v>
      </c>
      <c r="J258">
        <v>2.548</v>
      </c>
      <c r="K258">
        <v>0.72899999999999998</v>
      </c>
      <c r="L258" s="7">
        <v>1.85</v>
      </c>
      <c r="M258">
        <v>1.52</v>
      </c>
      <c r="N258">
        <v>1.71</v>
      </c>
      <c r="O258">
        <v>1.88</v>
      </c>
      <c r="P258">
        <f t="shared" si="3"/>
        <v>1.74</v>
      </c>
      <c r="Q258">
        <v>2.6350664111204868E-2</v>
      </c>
      <c r="R258">
        <v>5.1164988693096158E-2</v>
      </c>
      <c r="S258">
        <v>0.78385775554393078</v>
      </c>
      <c r="T258">
        <v>0.95542037562236348</v>
      </c>
      <c r="U258">
        <v>1.2910271175112495</v>
      </c>
      <c r="V258">
        <v>1.980550104094372E-2</v>
      </c>
      <c r="W258">
        <v>542</v>
      </c>
      <c r="X258">
        <v>699</v>
      </c>
      <c r="Y258">
        <v>0.88798145900011038</v>
      </c>
      <c r="Z258">
        <v>5.1596102169603635E-2</v>
      </c>
      <c r="AB258">
        <v>12.689251376344618</v>
      </c>
      <c r="AC258">
        <v>11.357518619131859</v>
      </c>
      <c r="AD258">
        <v>8.7972734771257777</v>
      </c>
    </row>
    <row r="259" spans="1:30" x14ac:dyDescent="0.3">
      <c r="A259">
        <v>257</v>
      </c>
      <c r="B259" t="s">
        <v>205</v>
      </c>
      <c r="C259" t="s">
        <v>189</v>
      </c>
      <c r="D259">
        <v>1</v>
      </c>
      <c r="E259" s="7" t="s">
        <v>21</v>
      </c>
      <c r="F259">
        <v>16</v>
      </c>
      <c r="G259" t="s">
        <v>27</v>
      </c>
      <c r="H259" t="s">
        <v>493</v>
      </c>
      <c r="I259" t="s">
        <v>440</v>
      </c>
      <c r="J259">
        <v>0.23300000000000001</v>
      </c>
      <c r="K259">
        <v>8.4000000000000005E-2</v>
      </c>
      <c r="L259" s="7">
        <v>1.87</v>
      </c>
      <c r="M259">
        <v>1.59</v>
      </c>
      <c r="N259">
        <v>1.74</v>
      </c>
      <c r="O259">
        <v>1.73</v>
      </c>
      <c r="P259">
        <f t="shared" si="3"/>
        <v>1.7324999999999999</v>
      </c>
      <c r="Q259">
        <v>2.9810891643680667E-2</v>
      </c>
      <c r="R259">
        <v>5.7109336033022394E-2</v>
      </c>
      <c r="S259">
        <v>0.75990973139427087</v>
      </c>
      <c r="T259">
        <v>0.83300636172951992</v>
      </c>
      <c r="U259">
        <v>1.2432928890187478</v>
      </c>
      <c r="V259">
        <v>7.9351681842341135E-2</v>
      </c>
      <c r="W259">
        <v>404</v>
      </c>
      <c r="X259">
        <v>561</v>
      </c>
      <c r="Y259">
        <v>0.8242465941929269</v>
      </c>
      <c r="Z259">
        <v>8.3942838696515976E-2</v>
      </c>
      <c r="AB259">
        <v>18.868837007576982</v>
      </c>
      <c r="AC259">
        <v>16.88866318551311</v>
      </c>
      <c r="AD259">
        <v>13.583817083392361</v>
      </c>
    </row>
    <row r="260" spans="1:30" x14ac:dyDescent="0.3">
      <c r="A260">
        <v>258</v>
      </c>
      <c r="B260" t="s">
        <v>205</v>
      </c>
      <c r="C260" t="s">
        <v>189</v>
      </c>
      <c r="D260">
        <v>1</v>
      </c>
      <c r="E260" s="7" t="s">
        <v>21</v>
      </c>
      <c r="F260">
        <v>15</v>
      </c>
      <c r="G260" t="s">
        <v>23</v>
      </c>
      <c r="H260" t="s">
        <v>494</v>
      </c>
      <c r="I260" t="s">
        <v>430</v>
      </c>
      <c r="J260">
        <v>0.20699999999999999</v>
      </c>
      <c r="K260">
        <v>6.9000000000000006E-2</v>
      </c>
      <c r="L260" s="7">
        <v>2.2599999999999998</v>
      </c>
      <c r="M260">
        <v>2.46</v>
      </c>
      <c r="N260">
        <v>1.7</v>
      </c>
      <c r="O260">
        <v>1.81</v>
      </c>
      <c r="P260">
        <f t="shared" ref="P260:P322" si="4">AVERAGE(L260:O260)</f>
        <v>2.0575000000000001</v>
      </c>
      <c r="Q260">
        <v>2.8436758353341918E-2</v>
      </c>
      <c r="R260">
        <v>7.1800440863655765E-2</v>
      </c>
      <c r="S260">
        <v>0.79912405719112456</v>
      </c>
      <c r="T260">
        <v>0.84718103023595204</v>
      </c>
      <c r="U260">
        <v>1.1438728891272656</v>
      </c>
      <c r="V260">
        <v>7.2023777352984861E-2</v>
      </c>
      <c r="W260">
        <v>579</v>
      </c>
      <c r="X260">
        <v>713</v>
      </c>
      <c r="Y260">
        <v>0.93014172887590607</v>
      </c>
      <c r="Z260">
        <v>3.1450871468597617E-2</v>
      </c>
      <c r="AB260">
        <v>9.4378363244929666</v>
      </c>
      <c r="AC260">
        <v>8.4472493659877799</v>
      </c>
      <c r="AD260">
        <v>7.384779765549589</v>
      </c>
    </row>
    <row r="261" spans="1:30" x14ac:dyDescent="0.3">
      <c r="A261">
        <v>259</v>
      </c>
      <c r="B261" t="s">
        <v>205</v>
      </c>
      <c r="C261" t="s">
        <v>189</v>
      </c>
      <c r="D261">
        <v>1</v>
      </c>
      <c r="E261" s="7" t="s">
        <v>21</v>
      </c>
      <c r="F261">
        <v>14</v>
      </c>
      <c r="G261" t="s">
        <v>22</v>
      </c>
      <c r="H261" t="s">
        <v>495</v>
      </c>
      <c r="I261" t="s">
        <v>444</v>
      </c>
      <c r="J261">
        <v>2.2709999999999999</v>
      </c>
      <c r="K261">
        <v>1.1000000000000001</v>
      </c>
      <c r="L261" s="7">
        <v>4.42</v>
      </c>
      <c r="M261">
        <v>4</v>
      </c>
      <c r="N261">
        <v>4.6399999999999997</v>
      </c>
      <c r="O261">
        <v>5.47</v>
      </c>
      <c r="P261">
        <f t="shared" si="4"/>
        <v>4.6324999999999994</v>
      </c>
      <c r="Q261">
        <v>4.9465621673460317E-2</v>
      </c>
      <c r="R261">
        <v>7.5488615953586718E-2</v>
      </c>
      <c r="S261">
        <v>0.8165029766184464</v>
      </c>
      <c r="T261">
        <v>0.66358738718615551</v>
      </c>
      <c r="U261">
        <v>1.1221185371299101</v>
      </c>
      <c r="V261">
        <v>0.17810187720992937</v>
      </c>
      <c r="W261">
        <v>536</v>
      </c>
      <c r="X261">
        <v>586</v>
      </c>
      <c r="Y261">
        <v>1.0480242360379346</v>
      </c>
      <c r="Z261">
        <v>-2.037132602159417E-2</v>
      </c>
      <c r="AB261">
        <v>3.1799273659609861</v>
      </c>
      <c r="AC261">
        <v>2.8457915404894689</v>
      </c>
      <c r="AD261">
        <v>2.5360881638835324</v>
      </c>
    </row>
    <row r="262" spans="1:30" x14ac:dyDescent="0.3">
      <c r="A262">
        <v>260</v>
      </c>
      <c r="B262" t="s">
        <v>205</v>
      </c>
      <c r="C262" t="s">
        <v>189</v>
      </c>
      <c r="D262">
        <v>2</v>
      </c>
      <c r="E262" s="7" t="s">
        <v>21</v>
      </c>
      <c r="F262">
        <v>1</v>
      </c>
      <c r="G262" t="s">
        <v>22</v>
      </c>
      <c r="H262" t="s">
        <v>496</v>
      </c>
      <c r="I262" t="s">
        <v>444</v>
      </c>
      <c r="J262">
        <v>3.74</v>
      </c>
      <c r="K262">
        <v>1.61</v>
      </c>
      <c r="L262" s="7">
        <v>4.25</v>
      </c>
      <c r="M262">
        <v>5.65</v>
      </c>
      <c r="N262">
        <v>5.51</v>
      </c>
      <c r="O262">
        <v>4.75</v>
      </c>
      <c r="P262">
        <f t="shared" si="4"/>
        <v>5.04</v>
      </c>
      <c r="Q262">
        <v>3.0299624133395101E-2</v>
      </c>
      <c r="R262">
        <v>0.12400116602038566</v>
      </c>
      <c r="S262">
        <v>0.91093843523314577</v>
      </c>
      <c r="T262">
        <v>0.84613854227810259</v>
      </c>
      <c r="U262">
        <v>0.90657423101648782</v>
      </c>
      <c r="V262">
        <v>7.2558522042757423E-2</v>
      </c>
      <c r="W262">
        <v>496</v>
      </c>
      <c r="X262">
        <v>696</v>
      </c>
      <c r="Y262">
        <v>0.81585014409221901</v>
      </c>
      <c r="Z262">
        <v>8.838960542577072E-2</v>
      </c>
      <c r="AB262">
        <v>19.810751305985306</v>
      </c>
      <c r="AC262">
        <v>17.731734511360862</v>
      </c>
      <c r="AD262">
        <v>19.559054189615914</v>
      </c>
    </row>
    <row r="263" spans="1:30" x14ac:dyDescent="0.3">
      <c r="A263">
        <v>261</v>
      </c>
      <c r="B263" t="s">
        <v>205</v>
      </c>
      <c r="C263" t="s">
        <v>189</v>
      </c>
      <c r="D263">
        <v>2</v>
      </c>
      <c r="E263" s="7" t="s">
        <v>21</v>
      </c>
      <c r="F263">
        <v>3</v>
      </c>
      <c r="G263" t="s">
        <v>28</v>
      </c>
      <c r="H263" t="s">
        <v>497</v>
      </c>
      <c r="I263" t="s">
        <v>438</v>
      </c>
      <c r="J263">
        <v>2.8660000000000001</v>
      </c>
      <c r="K263">
        <v>1</v>
      </c>
      <c r="L263">
        <v>3.13</v>
      </c>
      <c r="M263">
        <v>2.16</v>
      </c>
      <c r="N263">
        <v>2.56</v>
      </c>
      <c r="O263">
        <v>4.2</v>
      </c>
      <c r="P263">
        <f t="shared" si="4"/>
        <v>3.0125000000000002</v>
      </c>
      <c r="Q263">
        <v>3.341860611709388E-2</v>
      </c>
      <c r="R263">
        <v>9.2698265695326562E-2</v>
      </c>
      <c r="S263">
        <v>0.77913554655395079</v>
      </c>
      <c r="T263">
        <v>0.94898689783221613</v>
      </c>
      <c r="U263">
        <v>1.032928391055022</v>
      </c>
      <c r="V263">
        <v>2.2739783609008843E-2</v>
      </c>
      <c r="W263">
        <v>430</v>
      </c>
      <c r="X263">
        <v>648</v>
      </c>
      <c r="Y263">
        <v>0.75937127887592282</v>
      </c>
      <c r="Z263">
        <v>0.1195458328764748</v>
      </c>
      <c r="AB263">
        <v>27.036683036822531</v>
      </c>
      <c r="AC263">
        <v>24.199356221272787</v>
      </c>
      <c r="AD263">
        <v>23.427912748681276</v>
      </c>
    </row>
    <row r="264" spans="1:30" x14ac:dyDescent="0.3">
      <c r="A264">
        <v>262</v>
      </c>
      <c r="B264" t="s">
        <v>205</v>
      </c>
      <c r="C264" t="s">
        <v>189</v>
      </c>
      <c r="D264">
        <v>2</v>
      </c>
      <c r="E264" s="7" t="s">
        <v>21</v>
      </c>
      <c r="F264" s="7">
        <v>6</v>
      </c>
      <c r="G264" t="s">
        <v>25</v>
      </c>
      <c r="H264" t="s">
        <v>498</v>
      </c>
      <c r="I264" t="s">
        <v>432</v>
      </c>
      <c r="J264">
        <v>1.613</v>
      </c>
      <c r="K264">
        <v>0.377</v>
      </c>
      <c r="L264">
        <v>1.83</v>
      </c>
      <c r="M264">
        <v>1.76</v>
      </c>
      <c r="N264">
        <v>1.26</v>
      </c>
      <c r="O264">
        <v>1.1499999999999999</v>
      </c>
      <c r="P264">
        <f t="shared" si="4"/>
        <v>1.5</v>
      </c>
      <c r="Q264">
        <v>3.4866640327276377E-2</v>
      </c>
      <c r="R264">
        <v>7.9200822092490741E-2</v>
      </c>
      <c r="S264">
        <v>0.93553212209078096</v>
      </c>
      <c r="T264">
        <v>0.77256177393040137</v>
      </c>
      <c r="U264">
        <v>1.1012703104764234</v>
      </c>
      <c r="V264">
        <v>0.11206678438923054</v>
      </c>
      <c r="W264">
        <v>511</v>
      </c>
      <c r="X264">
        <v>629</v>
      </c>
      <c r="Y264">
        <v>0.93045025150288296</v>
      </c>
      <c r="Z264">
        <v>3.1306842388520481E-2</v>
      </c>
      <c r="AB264">
        <v>9.4162404602368923</v>
      </c>
      <c r="AC264">
        <v>8.4279192766259001</v>
      </c>
      <c r="AD264">
        <v>7.6529070078897119</v>
      </c>
    </row>
    <row r="265" spans="1:30" x14ac:dyDescent="0.3">
      <c r="A265">
        <v>263</v>
      </c>
      <c r="B265" t="s">
        <v>205</v>
      </c>
      <c r="C265" t="s">
        <v>189</v>
      </c>
      <c r="D265">
        <v>2</v>
      </c>
      <c r="E265" s="7" t="s">
        <v>21</v>
      </c>
      <c r="F265">
        <v>8</v>
      </c>
      <c r="G265" t="s">
        <v>24</v>
      </c>
      <c r="H265" t="s">
        <v>499</v>
      </c>
      <c r="I265" t="s">
        <v>434</v>
      </c>
      <c r="J265">
        <v>1.254</v>
      </c>
      <c r="K265">
        <v>0.48699999999999999</v>
      </c>
      <c r="L265" s="7">
        <v>3.69</v>
      </c>
      <c r="M265">
        <v>4.3</v>
      </c>
      <c r="N265">
        <v>5.55</v>
      </c>
      <c r="O265">
        <v>3.51</v>
      </c>
      <c r="P265">
        <f t="shared" si="4"/>
        <v>4.2624999999999993</v>
      </c>
      <c r="Q265">
        <v>4.0983961055355407E-2</v>
      </c>
      <c r="R265">
        <v>9.2606037112230311E-2</v>
      </c>
      <c r="S265">
        <v>0.822164592043373</v>
      </c>
      <c r="T265">
        <v>0.9249169227000632</v>
      </c>
      <c r="U265">
        <v>1.0333607001532243</v>
      </c>
      <c r="V265">
        <v>3.3897274432063002E-2</v>
      </c>
      <c r="W265">
        <v>420</v>
      </c>
      <c r="X265">
        <v>639</v>
      </c>
      <c r="Y265">
        <v>0.75210723342591468</v>
      </c>
      <c r="Z265">
        <v>0.12372023445487801</v>
      </c>
      <c r="AB265">
        <v>28.088121587588603</v>
      </c>
      <c r="AC265">
        <v>25.140449862495185</v>
      </c>
      <c r="AD265">
        <v>24.328823283842144</v>
      </c>
    </row>
    <row r="266" spans="1:30" x14ac:dyDescent="0.3">
      <c r="A266">
        <v>264</v>
      </c>
      <c r="B266" t="s">
        <v>205</v>
      </c>
      <c r="C266" t="s">
        <v>189</v>
      </c>
      <c r="D266">
        <v>2</v>
      </c>
      <c r="E266" s="7" t="s">
        <v>21</v>
      </c>
      <c r="F266">
        <v>10</v>
      </c>
      <c r="G266" t="s">
        <v>192</v>
      </c>
      <c r="H266" t="s">
        <v>500</v>
      </c>
      <c r="I266" t="s">
        <v>442</v>
      </c>
      <c r="J266">
        <v>1.6319999999999999</v>
      </c>
      <c r="K266">
        <v>0.436</v>
      </c>
      <c r="L266" s="7">
        <v>1.42</v>
      </c>
      <c r="M266">
        <v>1.1100000000000001</v>
      </c>
      <c r="N266">
        <v>1.5</v>
      </c>
      <c r="O266">
        <v>1.36</v>
      </c>
      <c r="P266">
        <f t="shared" si="4"/>
        <v>1.3475000000000001</v>
      </c>
      <c r="Q266">
        <v>6.8642277567388957E-2</v>
      </c>
      <c r="R266">
        <v>0.15549620422895324</v>
      </c>
      <c r="S266">
        <v>0.77959978562662768</v>
      </c>
      <c r="T266">
        <v>0.97113033256180936</v>
      </c>
      <c r="U266">
        <v>0.80828020793965372</v>
      </c>
      <c r="V266">
        <v>1.2722480788190882E-2</v>
      </c>
      <c r="W266">
        <v>413</v>
      </c>
      <c r="X266">
        <v>604</v>
      </c>
      <c r="Y266">
        <v>0.78250702785586501</v>
      </c>
      <c r="Z266">
        <v>0.10651175327631811</v>
      </c>
      <c r="AB266">
        <v>23.880354246420218</v>
      </c>
      <c r="AC266">
        <v>21.374267928942906</v>
      </c>
      <c r="AD266">
        <v>26.444131278962001</v>
      </c>
    </row>
    <row r="267" spans="1:30" x14ac:dyDescent="0.3">
      <c r="A267">
        <v>265</v>
      </c>
      <c r="B267" t="s">
        <v>205</v>
      </c>
      <c r="C267" t="s">
        <v>189</v>
      </c>
      <c r="D267">
        <v>2</v>
      </c>
      <c r="E267" s="7" t="s">
        <v>21</v>
      </c>
      <c r="F267">
        <v>11</v>
      </c>
      <c r="G267" t="s">
        <v>26</v>
      </c>
      <c r="H267" t="s">
        <v>501</v>
      </c>
      <c r="I267" t="s">
        <v>436</v>
      </c>
      <c r="J267">
        <v>6.43</v>
      </c>
      <c r="K267">
        <v>1.4950000000000001</v>
      </c>
      <c r="L267" s="7">
        <v>1.61</v>
      </c>
      <c r="M267">
        <v>2.1</v>
      </c>
      <c r="N267">
        <v>1.65</v>
      </c>
      <c r="O267">
        <v>1.76</v>
      </c>
      <c r="P267">
        <f t="shared" si="4"/>
        <v>1.7799999999999998</v>
      </c>
      <c r="Q267">
        <v>3.0804111355676303E-2</v>
      </c>
      <c r="R267">
        <v>0.18863857473913634</v>
      </c>
      <c r="S267">
        <v>0.79938775228218373</v>
      </c>
      <c r="T267">
        <v>0.93105712785883865</v>
      </c>
      <c r="U267">
        <v>0.72436949355341096</v>
      </c>
      <c r="V267">
        <v>3.1023670734355899E-2</v>
      </c>
      <c r="W267">
        <v>275</v>
      </c>
      <c r="X267">
        <v>441</v>
      </c>
      <c r="Y267">
        <v>0.71275626423690208</v>
      </c>
      <c r="Z267">
        <v>0.14705895709592803</v>
      </c>
      <c r="AB267">
        <v>34.329243360640397</v>
      </c>
      <c r="AC267">
        <v>30.72657132175484</v>
      </c>
      <c r="AD267">
        <v>42.418367414984509</v>
      </c>
    </row>
    <row r="268" spans="1:30" x14ac:dyDescent="0.3">
      <c r="A268">
        <v>266</v>
      </c>
      <c r="B268" t="s">
        <v>205</v>
      </c>
      <c r="C268" t="s">
        <v>189</v>
      </c>
      <c r="D268">
        <v>2</v>
      </c>
      <c r="E268" s="7" t="s">
        <v>21</v>
      </c>
      <c r="F268">
        <v>15</v>
      </c>
      <c r="G268" t="s">
        <v>27</v>
      </c>
      <c r="H268" t="s">
        <v>502</v>
      </c>
      <c r="I268" t="s">
        <v>440</v>
      </c>
      <c r="J268">
        <v>1.03</v>
      </c>
      <c r="K268">
        <v>0.21199999999999999</v>
      </c>
      <c r="L268" s="7">
        <v>1.1399999999999999</v>
      </c>
      <c r="M268">
        <v>1.42</v>
      </c>
      <c r="N268">
        <v>1.5</v>
      </c>
      <c r="O268">
        <v>1.2</v>
      </c>
      <c r="P268">
        <f t="shared" si="4"/>
        <v>1.3149999999999999</v>
      </c>
      <c r="Q268">
        <v>2.7991641668199459E-2</v>
      </c>
      <c r="R268">
        <v>0.13905926645281957</v>
      </c>
      <c r="S268">
        <v>0.79190711279917414</v>
      </c>
      <c r="T268">
        <v>0.82024129302431326</v>
      </c>
      <c r="U268">
        <v>0.85680006587757784</v>
      </c>
      <c r="V268">
        <v>8.6058371013922955E-2</v>
      </c>
      <c r="W268">
        <v>514</v>
      </c>
      <c r="X268">
        <v>706</v>
      </c>
      <c r="Y268">
        <v>0.83356643356643356</v>
      </c>
      <c r="Z268">
        <v>7.9059782060844186E-2</v>
      </c>
      <c r="AB268">
        <v>17.860235308518405</v>
      </c>
      <c r="AC268">
        <v>15.98590119863656</v>
      </c>
      <c r="AD268">
        <v>18.657679702980641</v>
      </c>
    </row>
    <row r="269" spans="1:30" x14ac:dyDescent="0.3">
      <c r="A269">
        <v>267</v>
      </c>
      <c r="B269" t="s">
        <v>205</v>
      </c>
      <c r="C269" t="s">
        <v>189</v>
      </c>
      <c r="D269">
        <v>2</v>
      </c>
      <c r="E269" s="7" t="s">
        <v>21</v>
      </c>
      <c r="F269">
        <v>9</v>
      </c>
      <c r="G269" t="s">
        <v>29</v>
      </c>
      <c r="H269" t="s">
        <v>503</v>
      </c>
      <c r="I269" t="s">
        <v>451</v>
      </c>
      <c r="J269">
        <v>2.1360000000000001</v>
      </c>
      <c r="K269">
        <v>0.77500000000000002</v>
      </c>
      <c r="L269" s="7">
        <v>4.63</v>
      </c>
      <c r="M269">
        <v>4.25</v>
      </c>
      <c r="N269">
        <v>4.38</v>
      </c>
      <c r="O269">
        <v>3.92</v>
      </c>
      <c r="P269">
        <f t="shared" si="4"/>
        <v>4.2949999999999999</v>
      </c>
      <c r="Q269">
        <v>3.4486000149030999E-2</v>
      </c>
      <c r="R269">
        <v>8.2032412170691293E-2</v>
      </c>
      <c r="S269">
        <v>0.74762083395551604</v>
      </c>
      <c r="T269">
        <v>0.83359384737706654</v>
      </c>
      <c r="U269">
        <v>1.0860145177917302</v>
      </c>
      <c r="V269">
        <v>7.9045499490868157E-2</v>
      </c>
      <c r="W269">
        <v>541</v>
      </c>
      <c r="X269">
        <v>717</v>
      </c>
      <c r="Y269">
        <v>0.86402366863905322</v>
      </c>
      <c r="Z269">
        <v>6.3474360508904662E-2</v>
      </c>
      <c r="AB269">
        <v>14.821197455787193</v>
      </c>
      <c r="AC269">
        <v>13.265761545588466</v>
      </c>
      <c r="AD269">
        <v>12.215086749082023</v>
      </c>
    </row>
    <row r="270" spans="1:30" x14ac:dyDescent="0.3">
      <c r="A270">
        <v>268</v>
      </c>
      <c r="B270" t="s">
        <v>205</v>
      </c>
      <c r="C270" t="s">
        <v>189</v>
      </c>
      <c r="D270">
        <v>3</v>
      </c>
      <c r="E270" s="7" t="s">
        <v>21</v>
      </c>
      <c r="F270">
        <v>2</v>
      </c>
      <c r="G270" t="s">
        <v>27</v>
      </c>
      <c r="H270" t="s">
        <v>504</v>
      </c>
      <c r="I270" t="s">
        <v>440</v>
      </c>
      <c r="J270">
        <v>1.64</v>
      </c>
      <c r="K270">
        <v>0.33300000000000002</v>
      </c>
      <c r="L270" s="7">
        <v>1.38</v>
      </c>
      <c r="M270">
        <v>1.56</v>
      </c>
      <c r="N270">
        <v>1.3</v>
      </c>
      <c r="O270">
        <v>1.39</v>
      </c>
      <c r="P270">
        <f t="shared" si="4"/>
        <v>1.4075</v>
      </c>
      <c r="Q270">
        <v>2.5393228405556589E-2</v>
      </c>
      <c r="R270">
        <v>4.4248919852933645E-2</v>
      </c>
      <c r="S270">
        <v>0.75117343323301999</v>
      </c>
      <c r="T270">
        <v>0.79834615763655725</v>
      </c>
      <c r="U270">
        <v>1.3540973262686657</v>
      </c>
      <c r="V270">
        <v>9.7808760585709781E-2</v>
      </c>
      <c r="W270">
        <v>581</v>
      </c>
      <c r="X270">
        <v>707</v>
      </c>
      <c r="Y270">
        <v>0.94130932896890329</v>
      </c>
      <c r="Z270">
        <v>2.6267637158525307E-2</v>
      </c>
      <c r="AB270">
        <v>8.6754071265613639</v>
      </c>
      <c r="AC270">
        <v>7.7648109324415389</v>
      </c>
      <c r="AD270">
        <v>5.734307853511651</v>
      </c>
    </row>
    <row r="271" spans="1:30" x14ac:dyDescent="0.3">
      <c r="A271">
        <v>269</v>
      </c>
      <c r="B271" t="s">
        <v>205</v>
      </c>
      <c r="C271" t="s">
        <v>189</v>
      </c>
      <c r="D271">
        <v>3</v>
      </c>
      <c r="E271" s="7" t="s">
        <v>21</v>
      </c>
      <c r="F271">
        <v>3</v>
      </c>
      <c r="G271" t="s">
        <v>22</v>
      </c>
      <c r="H271" t="s">
        <v>505</v>
      </c>
      <c r="I271" t="s">
        <v>444</v>
      </c>
      <c r="J271">
        <v>1.843</v>
      </c>
      <c r="K271">
        <v>0.73499999999999999</v>
      </c>
      <c r="L271" s="7">
        <v>5.99</v>
      </c>
      <c r="M271">
        <v>5.15</v>
      </c>
      <c r="N271">
        <v>6.23</v>
      </c>
      <c r="O271">
        <v>4.2300000000000004</v>
      </c>
      <c r="P271">
        <f t="shared" si="4"/>
        <v>5.4</v>
      </c>
      <c r="Q271">
        <v>3.7793958132531481E-2</v>
      </c>
      <c r="R271">
        <v>6.5039677718557634E-2</v>
      </c>
      <c r="S271">
        <v>0.90497004639343337</v>
      </c>
      <c r="T271">
        <v>0.81308610419785554</v>
      </c>
      <c r="U271">
        <v>1.1868216194035148</v>
      </c>
      <c r="V271">
        <v>8.9863461050554413E-2</v>
      </c>
      <c r="W271">
        <v>502</v>
      </c>
      <c r="X271">
        <v>633</v>
      </c>
      <c r="Y271">
        <v>0.90820431549433134</v>
      </c>
      <c r="Z271">
        <v>4.1816438802678241E-2</v>
      </c>
      <c r="AB271">
        <v>11.053579277504195</v>
      </c>
      <c r="AC271">
        <v>9.8934688061563367</v>
      </c>
      <c r="AD271">
        <v>8.3361043011069338</v>
      </c>
    </row>
    <row r="272" spans="1:30" x14ac:dyDescent="0.3">
      <c r="A272">
        <v>270</v>
      </c>
      <c r="B272" t="s">
        <v>205</v>
      </c>
      <c r="C272" t="s">
        <v>189</v>
      </c>
      <c r="D272">
        <v>3</v>
      </c>
      <c r="E272" s="7" t="s">
        <v>21</v>
      </c>
      <c r="F272">
        <v>6</v>
      </c>
      <c r="G272" t="s">
        <v>192</v>
      </c>
      <c r="H272" t="s">
        <v>506</v>
      </c>
      <c r="I272" t="s">
        <v>442</v>
      </c>
      <c r="J272">
        <v>6.3140000000000001</v>
      </c>
      <c r="K272">
        <v>1.863</v>
      </c>
      <c r="L272" s="7">
        <v>1.79</v>
      </c>
      <c r="M272">
        <v>1.64</v>
      </c>
      <c r="N272">
        <v>1.55</v>
      </c>
      <c r="O272">
        <v>1.54</v>
      </c>
      <c r="P272">
        <f t="shared" si="4"/>
        <v>1.63</v>
      </c>
      <c r="Q272">
        <v>2.933071136166425E-2</v>
      </c>
      <c r="R272">
        <v>8.5792076069814427E-2</v>
      </c>
      <c r="S272">
        <v>0.70242114963250601</v>
      </c>
      <c r="T272">
        <v>0.90012716299417761</v>
      </c>
      <c r="U272">
        <v>1.0665528226183494</v>
      </c>
      <c r="V272">
        <v>4.5696132465646286E-2</v>
      </c>
      <c r="W272">
        <v>346</v>
      </c>
      <c r="X272">
        <v>513</v>
      </c>
      <c r="Y272">
        <v>0.77157910582568112</v>
      </c>
      <c r="Z272">
        <v>0.11261954145774537</v>
      </c>
      <c r="AB272">
        <v>25.335524298064772</v>
      </c>
      <c r="AC272">
        <v>22.676726435785355</v>
      </c>
      <c r="AD272">
        <v>21.261700269204479</v>
      </c>
    </row>
    <row r="273" spans="1:31" x14ac:dyDescent="0.3">
      <c r="A273">
        <v>271</v>
      </c>
      <c r="B273" t="s">
        <v>205</v>
      </c>
      <c r="C273" t="s">
        <v>189</v>
      </c>
      <c r="D273">
        <v>3</v>
      </c>
      <c r="E273" s="7" t="s">
        <v>21</v>
      </c>
      <c r="F273">
        <v>9</v>
      </c>
      <c r="G273" t="s">
        <v>23</v>
      </c>
      <c r="H273" t="s">
        <v>507</v>
      </c>
      <c r="I273" t="s">
        <v>430</v>
      </c>
      <c r="J273">
        <v>1.9490000000000001</v>
      </c>
      <c r="K273">
        <v>0.61899999999999999</v>
      </c>
      <c r="L273" s="7">
        <v>2.56</v>
      </c>
      <c r="M273">
        <v>2.66</v>
      </c>
      <c r="N273">
        <v>3.56</v>
      </c>
      <c r="O273">
        <v>1.84</v>
      </c>
      <c r="P273">
        <f t="shared" si="4"/>
        <v>2.6550000000000002</v>
      </c>
      <c r="Q273">
        <v>4.461748041880282E-2</v>
      </c>
      <c r="R273">
        <v>5.7385503941637508E-2</v>
      </c>
      <c r="S273">
        <v>0.68375336158273337</v>
      </c>
      <c r="T273">
        <v>0.948085642928154</v>
      </c>
      <c r="U273">
        <v>1.2411978001672628</v>
      </c>
      <c r="V273">
        <v>2.3152429991958771E-2</v>
      </c>
      <c r="W273">
        <v>367</v>
      </c>
      <c r="X273">
        <v>623</v>
      </c>
      <c r="Y273">
        <v>0.67366530410008663</v>
      </c>
      <c r="Z273">
        <v>0.17155581961466826</v>
      </c>
      <c r="AB273">
        <v>41.541820119133362</v>
      </c>
      <c r="AC273">
        <v>37.182167331294536</v>
      </c>
      <c r="AD273">
        <v>29.956681623415623</v>
      </c>
    </row>
    <row r="274" spans="1:31" x14ac:dyDescent="0.3">
      <c r="A274">
        <v>272</v>
      </c>
      <c r="B274" t="s">
        <v>205</v>
      </c>
      <c r="C274" t="s">
        <v>189</v>
      </c>
      <c r="D274">
        <v>3</v>
      </c>
      <c r="E274" s="7" t="s">
        <v>21</v>
      </c>
      <c r="F274">
        <v>14</v>
      </c>
      <c r="G274" t="s">
        <v>25</v>
      </c>
      <c r="H274" t="s">
        <v>508</v>
      </c>
      <c r="I274" t="s">
        <v>432</v>
      </c>
      <c r="J274">
        <v>1.41</v>
      </c>
      <c r="K274">
        <v>0.34499999999999997</v>
      </c>
      <c r="L274" s="7">
        <v>1.1599999999999999</v>
      </c>
      <c r="M274">
        <v>1.66</v>
      </c>
      <c r="N274">
        <v>1.45</v>
      </c>
      <c r="O274">
        <v>1.35</v>
      </c>
      <c r="P274">
        <f t="shared" si="4"/>
        <v>1.4049999999999998</v>
      </c>
      <c r="Q274">
        <v>4.178462451919629E-2</v>
      </c>
      <c r="R274">
        <v>6.8411006648609343E-2</v>
      </c>
      <c r="S274">
        <v>0.72907162435792616</v>
      </c>
      <c r="T274">
        <v>0.88205001969221697</v>
      </c>
      <c r="U274">
        <v>1.1648740190079934</v>
      </c>
      <c r="V274">
        <v>5.4506786001561211E-2</v>
      </c>
      <c r="W274">
        <v>495</v>
      </c>
      <c r="X274">
        <v>682</v>
      </c>
      <c r="Y274">
        <v>0.83096153846153842</v>
      </c>
      <c r="Z274">
        <v>8.0419077323569052E-2</v>
      </c>
      <c r="AB274">
        <v>18.138294599083082</v>
      </c>
      <c r="AC274">
        <v>16.234781903854024</v>
      </c>
      <c r="AD274">
        <v>13.936942226318656</v>
      </c>
    </row>
    <row r="275" spans="1:31" x14ac:dyDescent="0.3">
      <c r="A275">
        <v>273</v>
      </c>
      <c r="B275" t="s">
        <v>205</v>
      </c>
      <c r="C275" t="s">
        <v>189</v>
      </c>
      <c r="D275">
        <v>4</v>
      </c>
      <c r="E275" s="7" t="s">
        <v>21</v>
      </c>
      <c r="F275">
        <v>2</v>
      </c>
      <c r="G275" t="s">
        <v>23</v>
      </c>
      <c r="H275" t="s">
        <v>509</v>
      </c>
      <c r="I275" t="s">
        <v>430</v>
      </c>
      <c r="J275">
        <v>0.81100000000000005</v>
      </c>
      <c r="K275">
        <v>0.23200000000000001</v>
      </c>
      <c r="L275" s="7">
        <v>1.9</v>
      </c>
      <c r="M275">
        <v>1.88</v>
      </c>
      <c r="N275">
        <v>2.2400000000000002</v>
      </c>
      <c r="O275">
        <v>2.61</v>
      </c>
      <c r="P275">
        <f t="shared" si="4"/>
        <v>2.1574999999999998</v>
      </c>
      <c r="Q275">
        <v>3.7219466313371509E-2</v>
      </c>
      <c r="R275">
        <v>0.10444456758529397</v>
      </c>
      <c r="S275">
        <v>0.81302239056732484</v>
      </c>
      <c r="T275">
        <v>0.89966705293180405</v>
      </c>
      <c r="U275">
        <v>0.9811141438032015</v>
      </c>
      <c r="V275">
        <v>4.5918183702106485E-2</v>
      </c>
      <c r="W275">
        <v>436</v>
      </c>
      <c r="X275">
        <v>650</v>
      </c>
      <c r="Y275">
        <v>0.76764007597340922</v>
      </c>
      <c r="Z275">
        <v>0.11484236025264541</v>
      </c>
      <c r="AB275">
        <v>25.875564223396061</v>
      </c>
      <c r="AC275">
        <v>23.160091864530848</v>
      </c>
      <c r="AD275">
        <v>23.605909680144674</v>
      </c>
      <c r="AE275" t="s">
        <v>215</v>
      </c>
    </row>
    <row r="276" spans="1:31" x14ac:dyDescent="0.3">
      <c r="A276">
        <v>274</v>
      </c>
      <c r="B276" t="s">
        <v>205</v>
      </c>
      <c r="C276" t="s">
        <v>189</v>
      </c>
      <c r="D276">
        <v>4</v>
      </c>
      <c r="E276" s="7" t="s">
        <v>21</v>
      </c>
      <c r="F276">
        <v>4</v>
      </c>
      <c r="G276" t="s">
        <v>28</v>
      </c>
      <c r="H276" t="s">
        <v>510</v>
      </c>
      <c r="I276" t="s">
        <v>438</v>
      </c>
      <c r="J276">
        <v>3.2509999999999999</v>
      </c>
      <c r="K276">
        <v>1.167</v>
      </c>
      <c r="L276" s="7">
        <v>9.4600000000000009</v>
      </c>
      <c r="M276">
        <v>7.27</v>
      </c>
      <c r="N276">
        <v>6.59</v>
      </c>
      <c r="O276">
        <v>9.2100000000000009</v>
      </c>
      <c r="P276">
        <f t="shared" si="4"/>
        <v>8.1325000000000003</v>
      </c>
      <c r="Q276">
        <v>3.2582376865800955E-2</v>
      </c>
      <c r="R276">
        <v>9.5652777541973627E-2</v>
      </c>
      <c r="S276">
        <v>0.83257656801216051</v>
      </c>
      <c r="T276">
        <v>0.84189539373023115</v>
      </c>
      <c r="U276">
        <v>1.0193024145165752</v>
      </c>
      <c r="V276">
        <v>7.4741866633332724E-2</v>
      </c>
      <c r="W276">
        <v>459</v>
      </c>
      <c r="X276">
        <v>590</v>
      </c>
      <c r="Y276">
        <v>0.89080324437467295</v>
      </c>
      <c r="Z276">
        <v>5.0218209900850991E-2</v>
      </c>
      <c r="AB276">
        <v>12.452257983684543</v>
      </c>
      <c r="AC276">
        <v>11.145392097650044</v>
      </c>
      <c r="AD276">
        <v>10.934333068303356</v>
      </c>
    </row>
    <row r="277" spans="1:31" x14ac:dyDescent="0.3">
      <c r="A277">
        <v>275</v>
      </c>
      <c r="B277" t="s">
        <v>205</v>
      </c>
      <c r="C277" t="s">
        <v>189</v>
      </c>
      <c r="D277">
        <v>4</v>
      </c>
      <c r="E277" s="7" t="s">
        <v>21</v>
      </c>
      <c r="F277">
        <v>8</v>
      </c>
      <c r="G277" t="s">
        <v>27</v>
      </c>
      <c r="H277" t="s">
        <v>511</v>
      </c>
      <c r="I277" t="s">
        <v>440</v>
      </c>
      <c r="J277">
        <v>1.663</v>
      </c>
      <c r="K277">
        <v>0.315</v>
      </c>
      <c r="L277" s="7">
        <v>0.99</v>
      </c>
      <c r="M277">
        <v>1.0900000000000001</v>
      </c>
      <c r="N277">
        <v>1.02</v>
      </c>
      <c r="O277">
        <v>1.02</v>
      </c>
      <c r="P277">
        <f t="shared" si="4"/>
        <v>1.03</v>
      </c>
      <c r="Q277">
        <v>2.9744986945868548E-2</v>
      </c>
      <c r="R277">
        <v>0.16155449790021117</v>
      </c>
      <c r="S277">
        <v>0.82908073111773939</v>
      </c>
      <c r="T277">
        <v>0.81127166201219525</v>
      </c>
      <c r="U277">
        <v>0.79168094612019202</v>
      </c>
      <c r="V277">
        <v>9.0833693807274393E-2</v>
      </c>
      <c r="W277">
        <v>552</v>
      </c>
      <c r="X277">
        <v>710</v>
      </c>
      <c r="Y277">
        <v>0.89037375054324197</v>
      </c>
      <c r="Z277">
        <v>5.0427652090087954E-2</v>
      </c>
      <c r="AB277">
        <v>12.488143220615704</v>
      </c>
      <c r="AC277">
        <v>11.17751203348857</v>
      </c>
      <c r="AD277">
        <v>14.118707906596017</v>
      </c>
    </row>
    <row r="278" spans="1:31" x14ac:dyDescent="0.3">
      <c r="A278">
        <v>276</v>
      </c>
      <c r="B278" t="s">
        <v>205</v>
      </c>
      <c r="C278" t="s">
        <v>189</v>
      </c>
      <c r="D278">
        <v>4</v>
      </c>
      <c r="E278" s="7" t="s">
        <v>21</v>
      </c>
      <c r="F278">
        <v>9</v>
      </c>
      <c r="G278" t="s">
        <v>25</v>
      </c>
      <c r="H278" t="s">
        <v>512</v>
      </c>
      <c r="I278" t="s">
        <v>432</v>
      </c>
      <c r="J278">
        <v>1.5349999999999999</v>
      </c>
      <c r="K278">
        <v>0.308</v>
      </c>
      <c r="L278" s="7">
        <v>1.06</v>
      </c>
      <c r="M278">
        <v>1.03</v>
      </c>
      <c r="N278">
        <v>1.25</v>
      </c>
      <c r="O278">
        <v>0.73</v>
      </c>
      <c r="P278">
        <f t="shared" si="4"/>
        <v>1.0175000000000001</v>
      </c>
      <c r="Q278">
        <v>7.2880159045109819E-2</v>
      </c>
      <c r="R278">
        <v>0.17090191501812932</v>
      </c>
      <c r="S278">
        <v>0.80274751623603546</v>
      </c>
      <c r="T278">
        <v>0.89326297029801627</v>
      </c>
      <c r="U278">
        <v>0.76725307082433847</v>
      </c>
      <c r="V278">
        <v>4.9020669065671971E-2</v>
      </c>
      <c r="W278">
        <v>512</v>
      </c>
      <c r="X278">
        <v>723</v>
      </c>
      <c r="Y278">
        <v>0.81073295636402432</v>
      </c>
      <c r="Z278">
        <v>9.1122172516055408E-2</v>
      </c>
      <c r="AB278">
        <v>20.400642454184378</v>
      </c>
      <c r="AC278">
        <v>18.259722858288775</v>
      </c>
      <c r="AD278">
        <v>23.7988266878756</v>
      </c>
    </row>
    <row r="279" spans="1:31" x14ac:dyDescent="0.3">
      <c r="A279">
        <v>277</v>
      </c>
      <c r="B279" t="s">
        <v>205</v>
      </c>
      <c r="C279" t="s">
        <v>189</v>
      </c>
      <c r="D279">
        <v>4</v>
      </c>
      <c r="E279" s="7" t="s">
        <v>21</v>
      </c>
      <c r="F279">
        <v>14</v>
      </c>
      <c r="G279" t="s">
        <v>24</v>
      </c>
      <c r="H279" t="s">
        <v>513</v>
      </c>
      <c r="I279" t="s">
        <v>434</v>
      </c>
      <c r="J279">
        <v>1.698</v>
      </c>
      <c r="K279">
        <v>0.70199999999999996</v>
      </c>
      <c r="L279" s="7">
        <v>3.54</v>
      </c>
      <c r="M279">
        <v>5.08</v>
      </c>
      <c r="N279">
        <v>2.93</v>
      </c>
      <c r="O279">
        <v>3.82</v>
      </c>
      <c r="P279">
        <f t="shared" si="4"/>
        <v>3.8425000000000002</v>
      </c>
      <c r="Q279">
        <v>5.3247663104108549E-2</v>
      </c>
      <c r="R279">
        <v>0.10687029170909908</v>
      </c>
      <c r="S279">
        <v>0.78793210160566185</v>
      </c>
      <c r="T279">
        <v>0.86910783956926274</v>
      </c>
      <c r="U279">
        <v>0.97114300517417518</v>
      </c>
      <c r="V279">
        <v>6.0926332614470488E-2</v>
      </c>
      <c r="W279">
        <v>436</v>
      </c>
      <c r="X279">
        <v>639</v>
      </c>
      <c r="Y279">
        <v>0.78089602704987315</v>
      </c>
      <c r="Z279">
        <v>0.10740678671740249</v>
      </c>
      <c r="AB279">
        <v>24.090959675901995</v>
      </c>
      <c r="AC279">
        <v>21.562771677347492</v>
      </c>
      <c r="AD279">
        <v>22.203497901403505</v>
      </c>
    </row>
    <row r="280" spans="1:31" x14ac:dyDescent="0.3">
      <c r="A280">
        <v>278</v>
      </c>
      <c r="B280" t="s">
        <v>205</v>
      </c>
      <c r="C280" t="s">
        <v>189</v>
      </c>
      <c r="D280">
        <v>4</v>
      </c>
      <c r="E280" s="7" t="s">
        <v>21</v>
      </c>
      <c r="F280">
        <v>13</v>
      </c>
      <c r="G280" t="s">
        <v>22</v>
      </c>
      <c r="H280" t="s">
        <v>514</v>
      </c>
      <c r="I280" t="s">
        <v>444</v>
      </c>
      <c r="J280">
        <v>1.169</v>
      </c>
      <c r="K280">
        <v>0.41699999999999998</v>
      </c>
      <c r="L280" s="7">
        <v>3.61</v>
      </c>
      <c r="M280">
        <v>4.33</v>
      </c>
      <c r="N280">
        <v>3.71</v>
      </c>
      <c r="O280">
        <v>3.71</v>
      </c>
      <c r="P280">
        <f t="shared" si="4"/>
        <v>3.84</v>
      </c>
      <c r="Q280">
        <v>4.1111665705563558E-2</v>
      </c>
      <c r="R280">
        <v>5.5648191892018202E-2</v>
      </c>
      <c r="S280">
        <v>0.72853789696088522</v>
      </c>
      <c r="T280">
        <v>0.82386184521628014</v>
      </c>
      <c r="U280">
        <v>1.2545489420943428</v>
      </c>
      <c r="V280">
        <v>8.4145609772150978E-2</v>
      </c>
      <c r="W280">
        <v>488</v>
      </c>
      <c r="X280">
        <v>650</v>
      </c>
      <c r="Y280">
        <v>0.85961538461538456</v>
      </c>
      <c r="Z280">
        <v>6.5695820502862712E-2</v>
      </c>
      <c r="AB280">
        <v>15.237600015636195</v>
      </c>
      <c r="AC280">
        <v>13.638470287182146</v>
      </c>
      <c r="AD280">
        <v>10.871214210594365</v>
      </c>
    </row>
    <row r="281" spans="1:31" x14ac:dyDescent="0.3">
      <c r="A281">
        <v>279</v>
      </c>
      <c r="B281" t="s">
        <v>216</v>
      </c>
      <c r="C281" t="s">
        <v>188</v>
      </c>
      <c r="D281">
        <v>1</v>
      </c>
      <c r="E281" s="7" t="s">
        <v>21</v>
      </c>
      <c r="F281">
        <v>1</v>
      </c>
      <c r="G281" t="s">
        <v>27</v>
      </c>
      <c r="H281" t="s">
        <v>515</v>
      </c>
      <c r="I281" t="s">
        <v>440</v>
      </c>
      <c r="J281">
        <v>0.495</v>
      </c>
      <c r="K281">
        <v>6.7000000000000004E-2</v>
      </c>
      <c r="L281" s="7">
        <v>1.95</v>
      </c>
      <c r="M281">
        <v>1.76</v>
      </c>
      <c r="N281">
        <v>1.56</v>
      </c>
      <c r="O281">
        <v>1.51</v>
      </c>
      <c r="P281">
        <f t="shared" si="4"/>
        <v>1.6949999999999998</v>
      </c>
      <c r="Q281">
        <v>9.3346709798102875E-2</v>
      </c>
      <c r="R281">
        <v>0.33650614159892278</v>
      </c>
      <c r="S281">
        <v>0.86749055898279392</v>
      </c>
      <c r="T281">
        <v>0.99259172508795068</v>
      </c>
      <c r="U281">
        <v>0.47300700502638809</v>
      </c>
      <c r="V281">
        <v>3.2293496944290081E-3</v>
      </c>
      <c r="W281">
        <v>475</v>
      </c>
      <c r="X281">
        <v>690</v>
      </c>
      <c r="Y281">
        <v>0.78735430101895765</v>
      </c>
      <c r="Z281">
        <v>0.10382979578308993</v>
      </c>
      <c r="AB281">
        <v>23.254695029489582</v>
      </c>
      <c r="AC281">
        <v>20.814267358386022</v>
      </c>
      <c r="AD281">
        <v>44.004141877824487</v>
      </c>
    </row>
    <row r="282" spans="1:31" x14ac:dyDescent="0.3">
      <c r="A282">
        <v>280</v>
      </c>
      <c r="B282" t="s">
        <v>216</v>
      </c>
      <c r="C282" t="s">
        <v>188</v>
      </c>
      <c r="D282">
        <v>1</v>
      </c>
      <c r="E282" s="7" t="s">
        <v>21</v>
      </c>
      <c r="F282">
        <v>7</v>
      </c>
      <c r="G282" t="s">
        <v>192</v>
      </c>
      <c r="H282" t="s">
        <v>516</v>
      </c>
      <c r="I282" t="s">
        <v>442</v>
      </c>
      <c r="J282">
        <v>0.92900000000000005</v>
      </c>
      <c r="K282">
        <v>0.17100000000000001</v>
      </c>
      <c r="L282" s="7">
        <v>1.75</v>
      </c>
      <c r="M282">
        <v>1.66</v>
      </c>
      <c r="N282">
        <v>2.13</v>
      </c>
      <c r="O282">
        <v>2.41</v>
      </c>
      <c r="P282">
        <f t="shared" si="4"/>
        <v>1.9875</v>
      </c>
      <c r="Q282">
        <v>0.1905510224182716</v>
      </c>
      <c r="R282">
        <v>0.36865089956157399</v>
      </c>
      <c r="S282">
        <v>0.88203769225563833</v>
      </c>
      <c r="T282">
        <v>0.90542361325303145</v>
      </c>
      <c r="U282">
        <v>0.43338470201816992</v>
      </c>
      <c r="V282">
        <v>4.3148183386420708E-2</v>
      </c>
      <c r="W282">
        <v>302</v>
      </c>
      <c r="X282">
        <v>447</v>
      </c>
      <c r="Y282">
        <v>0.77146225324765383</v>
      </c>
      <c r="Z282">
        <v>0.11268531860575509</v>
      </c>
      <c r="AB282">
        <v>25.351424911901976</v>
      </c>
      <c r="AC282">
        <v>22.690958363117087</v>
      </c>
      <c r="AD282">
        <v>52.357543442236583</v>
      </c>
    </row>
    <row r="283" spans="1:31" x14ac:dyDescent="0.3">
      <c r="A283">
        <v>281</v>
      </c>
      <c r="B283" t="s">
        <v>216</v>
      </c>
      <c r="C283" t="s">
        <v>188</v>
      </c>
      <c r="D283">
        <v>1</v>
      </c>
      <c r="E283" s="7" t="s">
        <v>21</v>
      </c>
      <c r="F283">
        <v>9</v>
      </c>
      <c r="G283" t="s">
        <v>24</v>
      </c>
      <c r="H283" t="s">
        <v>517</v>
      </c>
      <c r="I283" t="s">
        <v>434</v>
      </c>
      <c r="J283">
        <v>0.45800000000000002</v>
      </c>
      <c r="K283">
        <v>0.109</v>
      </c>
      <c r="L283" s="7">
        <v>2.25</v>
      </c>
      <c r="M283">
        <v>3.2</v>
      </c>
      <c r="N283">
        <v>2.4300000000000002</v>
      </c>
      <c r="O283">
        <v>2.2799999999999998</v>
      </c>
      <c r="P283">
        <f t="shared" si="4"/>
        <v>2.54</v>
      </c>
      <c r="Q283">
        <v>4.6737648279419203E-2</v>
      </c>
      <c r="R283">
        <v>0.44328945951387622</v>
      </c>
      <c r="S283">
        <v>0.87728400074329704</v>
      </c>
      <c r="T283">
        <v>0.96267476818658326</v>
      </c>
      <c r="U283">
        <v>0.35331259518246888</v>
      </c>
      <c r="V283">
        <v>1.6520410942639441E-2</v>
      </c>
      <c r="W283">
        <v>450</v>
      </c>
      <c r="X283">
        <v>624</v>
      </c>
      <c r="Y283">
        <v>0.82474226804123707</v>
      </c>
      <c r="Z283">
        <v>8.3681747274301291E-2</v>
      </c>
      <c r="AB283">
        <v>18.81422675582575</v>
      </c>
      <c r="AC283">
        <v>16.839783609949379</v>
      </c>
      <c r="AD283">
        <v>47.662562386864373</v>
      </c>
    </row>
    <row r="284" spans="1:31" x14ac:dyDescent="0.3">
      <c r="A284">
        <v>282</v>
      </c>
      <c r="B284" t="s">
        <v>216</v>
      </c>
      <c r="C284" t="s">
        <v>188</v>
      </c>
      <c r="D284">
        <v>1</v>
      </c>
      <c r="E284" s="7" t="s">
        <v>21</v>
      </c>
      <c r="F284">
        <v>11</v>
      </c>
      <c r="G284" t="s">
        <v>22</v>
      </c>
      <c r="H284" t="s">
        <v>518</v>
      </c>
      <c r="I284" t="s">
        <v>444</v>
      </c>
      <c r="J284">
        <v>0.5</v>
      </c>
      <c r="K284">
        <v>0.14599999999999999</v>
      </c>
      <c r="L284" s="7">
        <v>3.71</v>
      </c>
      <c r="M284">
        <v>3.7</v>
      </c>
      <c r="N284">
        <v>3.93</v>
      </c>
      <c r="O284">
        <v>4.3600000000000003</v>
      </c>
      <c r="P284">
        <f t="shared" si="4"/>
        <v>3.9249999999999998</v>
      </c>
      <c r="Q284">
        <v>0.11050127065523396</v>
      </c>
      <c r="R284">
        <v>0.35066195922898935</v>
      </c>
      <c r="S284">
        <v>0.86121336253633252</v>
      </c>
      <c r="T284">
        <v>0.87819484690157013</v>
      </c>
      <c r="U284">
        <v>0.45511134501961226</v>
      </c>
      <c r="V284">
        <v>5.6409115590522842E-2</v>
      </c>
      <c r="W284">
        <v>389</v>
      </c>
      <c r="X284">
        <v>578</v>
      </c>
      <c r="Y284">
        <v>0.7692427951187264</v>
      </c>
      <c r="Z284">
        <v>0.1139365627500957</v>
      </c>
      <c r="AB284">
        <v>25.654824549482022</v>
      </c>
      <c r="AC284">
        <v>22.962517748743743</v>
      </c>
      <c r="AD284">
        <v>50.454724981101521</v>
      </c>
    </row>
    <row r="285" spans="1:31" x14ac:dyDescent="0.3">
      <c r="A285">
        <v>283</v>
      </c>
      <c r="B285" t="s">
        <v>216</v>
      </c>
      <c r="C285" t="s">
        <v>188</v>
      </c>
      <c r="D285">
        <v>1</v>
      </c>
      <c r="E285" s="7" t="s">
        <v>21</v>
      </c>
      <c r="F285">
        <v>12</v>
      </c>
      <c r="G285" t="s">
        <v>23</v>
      </c>
      <c r="H285" t="s">
        <v>519</v>
      </c>
      <c r="I285" t="s">
        <v>430</v>
      </c>
      <c r="J285">
        <v>0.27600000000000002</v>
      </c>
      <c r="K285">
        <v>4.4999999999999998E-2</v>
      </c>
      <c r="L285" s="7">
        <v>1.86</v>
      </c>
      <c r="M285">
        <v>1.55</v>
      </c>
      <c r="N285">
        <v>1.53</v>
      </c>
      <c r="O285">
        <v>1.55</v>
      </c>
      <c r="P285">
        <f t="shared" si="4"/>
        <v>1.6225000000000001</v>
      </c>
      <c r="Q285">
        <v>3.1278822716706879E-2</v>
      </c>
      <c r="R285">
        <v>0.22142831319568718</v>
      </c>
      <c r="S285">
        <v>0.8598165779182011</v>
      </c>
      <c r="T285">
        <v>0.99250651676748636</v>
      </c>
      <c r="U285">
        <v>0.65476684832414245</v>
      </c>
      <c r="V285">
        <v>3.2666329911771202E-3</v>
      </c>
      <c r="W285">
        <v>499</v>
      </c>
      <c r="X285">
        <v>702</v>
      </c>
      <c r="Y285">
        <v>0.81314249158051088</v>
      </c>
      <c r="Z285">
        <v>8.9833343846602201E-2</v>
      </c>
      <c r="AB285">
        <v>20.121366608914858</v>
      </c>
      <c r="AC285">
        <v>18.009754095556367</v>
      </c>
      <c r="AD285">
        <v>27.505598583147318</v>
      </c>
    </row>
    <row r="286" spans="1:31" x14ac:dyDescent="0.3">
      <c r="A286">
        <v>284</v>
      </c>
      <c r="B286" t="s">
        <v>216</v>
      </c>
      <c r="C286" t="s">
        <v>188</v>
      </c>
      <c r="D286">
        <v>1</v>
      </c>
      <c r="E286" s="7" t="s">
        <v>21</v>
      </c>
      <c r="F286">
        <v>13</v>
      </c>
      <c r="G286" t="s">
        <v>25</v>
      </c>
      <c r="H286" t="s">
        <v>520</v>
      </c>
      <c r="I286" t="s">
        <v>432</v>
      </c>
      <c r="J286">
        <v>0.65700000000000003</v>
      </c>
      <c r="K286">
        <v>8.2000000000000003E-2</v>
      </c>
      <c r="L286" s="7">
        <v>1.03</v>
      </c>
      <c r="M286">
        <v>0.86</v>
      </c>
      <c r="N286">
        <v>0.92</v>
      </c>
      <c r="O286">
        <v>1</v>
      </c>
      <c r="P286">
        <f t="shared" si="4"/>
        <v>0.95250000000000001</v>
      </c>
      <c r="Q286">
        <v>0.14654064033048211</v>
      </c>
      <c r="R286">
        <v>0.28252179209332301</v>
      </c>
      <c r="S286">
        <v>0.93201635714068709</v>
      </c>
      <c r="T286">
        <v>0.83703971506063957</v>
      </c>
      <c r="U286">
        <v>0.54894804759369775</v>
      </c>
      <c r="V286">
        <v>7.7253935528252909E-2</v>
      </c>
      <c r="W286">
        <v>360</v>
      </c>
      <c r="X286">
        <v>469</v>
      </c>
      <c r="Y286">
        <v>0.87733500748964655</v>
      </c>
      <c r="Z286">
        <v>5.683454104352538E-2</v>
      </c>
      <c r="AB286">
        <v>13.6098201291985</v>
      </c>
      <c r="AC286">
        <v>12.181494131855541</v>
      </c>
      <c r="AD286">
        <v>22.190613820839449</v>
      </c>
    </row>
    <row r="287" spans="1:31" x14ac:dyDescent="0.3">
      <c r="A287">
        <v>285</v>
      </c>
      <c r="B287" t="s">
        <v>216</v>
      </c>
      <c r="C287" t="s">
        <v>188</v>
      </c>
      <c r="D287">
        <v>1</v>
      </c>
      <c r="E287" s="7" t="s">
        <v>21</v>
      </c>
      <c r="F287">
        <v>15</v>
      </c>
      <c r="G287" t="s">
        <v>28</v>
      </c>
      <c r="H287" t="s">
        <v>521</v>
      </c>
      <c r="I287" t="s">
        <v>438</v>
      </c>
      <c r="J287">
        <v>2.4900000000000002</v>
      </c>
      <c r="K287">
        <v>0.59299999999999997</v>
      </c>
      <c r="L287" s="7">
        <v>5.29</v>
      </c>
      <c r="M287">
        <v>3.73</v>
      </c>
      <c r="N287">
        <v>4.1900000000000004</v>
      </c>
      <c r="O287">
        <v>4.88</v>
      </c>
      <c r="P287">
        <f t="shared" si="4"/>
        <v>4.5225</v>
      </c>
      <c r="Q287">
        <v>4.7750880701716424E-2</v>
      </c>
      <c r="R287">
        <v>0.56017795550683769</v>
      </c>
      <c r="S287">
        <v>0.89829869458935629</v>
      </c>
      <c r="T287">
        <v>0.96080324471950274</v>
      </c>
      <c r="U287">
        <v>0.25167398581968298</v>
      </c>
      <c r="V287">
        <v>1.736553895090813E-2</v>
      </c>
      <c r="W287">
        <v>477</v>
      </c>
      <c r="X287">
        <v>667</v>
      </c>
      <c r="Y287">
        <v>0.81798938113371089</v>
      </c>
      <c r="Z287">
        <v>8.7252334158710226E-2</v>
      </c>
      <c r="AB287">
        <v>19.567728973072757</v>
      </c>
      <c r="AC287">
        <v>17.514214661257924</v>
      </c>
      <c r="AD287">
        <v>69.590882046133856</v>
      </c>
    </row>
    <row r="288" spans="1:31" x14ac:dyDescent="0.3">
      <c r="A288">
        <v>286</v>
      </c>
      <c r="B288" t="s">
        <v>216</v>
      </c>
      <c r="C288" t="s">
        <v>188</v>
      </c>
      <c r="D288">
        <v>1</v>
      </c>
      <c r="E288" s="7" t="s">
        <v>21</v>
      </c>
      <c r="F288">
        <v>16</v>
      </c>
      <c r="G288" t="s">
        <v>29</v>
      </c>
      <c r="H288" t="s">
        <v>522</v>
      </c>
      <c r="I288" t="s">
        <v>451</v>
      </c>
      <c r="J288">
        <v>0.48799999999999999</v>
      </c>
      <c r="K288">
        <v>0.14299999999999999</v>
      </c>
      <c r="L288" s="7">
        <v>1.73</v>
      </c>
      <c r="M288">
        <v>0.98</v>
      </c>
      <c r="N288">
        <v>1.5</v>
      </c>
      <c r="O288">
        <v>1.79</v>
      </c>
      <c r="P288">
        <f t="shared" si="4"/>
        <v>1.5</v>
      </c>
      <c r="Q288">
        <v>0.17608137258757933</v>
      </c>
      <c r="R288">
        <v>0.34938054492833481</v>
      </c>
      <c r="S288">
        <v>0.90383577304378004</v>
      </c>
      <c r="T288">
        <v>0.96226339015233819</v>
      </c>
      <c r="U288">
        <v>0.45670128213932237</v>
      </c>
      <c r="V288">
        <v>1.6706036867498143E-2</v>
      </c>
      <c r="W288">
        <v>499</v>
      </c>
      <c r="X288">
        <v>685</v>
      </c>
      <c r="Y288">
        <v>0.83335217338879841</v>
      </c>
      <c r="Z288">
        <v>7.9171427600059782E-2</v>
      </c>
      <c r="AB288">
        <v>17.882995009702334</v>
      </c>
      <c r="AC288">
        <v>16.006272579285906</v>
      </c>
      <c r="AD288">
        <v>35.047575308542697</v>
      </c>
    </row>
    <row r="289" spans="1:31" x14ac:dyDescent="0.3">
      <c r="A289">
        <v>287</v>
      </c>
      <c r="B289" t="s">
        <v>216</v>
      </c>
      <c r="C289" t="s">
        <v>188</v>
      </c>
      <c r="D289">
        <v>2</v>
      </c>
      <c r="E289" s="7" t="s">
        <v>21</v>
      </c>
      <c r="F289">
        <v>1</v>
      </c>
      <c r="G289" t="s">
        <v>24</v>
      </c>
      <c r="H289" t="s">
        <v>523</v>
      </c>
      <c r="I289" t="s">
        <v>434</v>
      </c>
      <c r="J289">
        <v>1.82</v>
      </c>
      <c r="K289">
        <v>0.65300000000000002</v>
      </c>
      <c r="L289" s="7">
        <v>4.9400000000000004</v>
      </c>
      <c r="M289">
        <v>6.06</v>
      </c>
      <c r="N289">
        <v>4.5999999999999996</v>
      </c>
      <c r="O289">
        <v>6.81</v>
      </c>
      <c r="P289">
        <f t="shared" si="4"/>
        <v>5.6025</v>
      </c>
      <c r="Q289">
        <v>6.5357714715913728E-2</v>
      </c>
      <c r="R289">
        <v>0.31487863569521346</v>
      </c>
      <c r="S289">
        <v>0.85499906346752053</v>
      </c>
      <c r="T289">
        <v>0.97642037654779168</v>
      </c>
      <c r="U289">
        <v>0.50185680495392293</v>
      </c>
      <c r="V289">
        <v>1.0363166032882697E-2</v>
      </c>
      <c r="W289">
        <v>386</v>
      </c>
      <c r="X289">
        <v>617</v>
      </c>
      <c r="Y289">
        <v>0.71495514794483861</v>
      </c>
      <c r="Z289">
        <v>0.14572120241017034</v>
      </c>
      <c r="AB289">
        <v>33.954887067956477</v>
      </c>
      <c r="AC289">
        <v>30.39150407719546</v>
      </c>
      <c r="AD289">
        <v>60.558118923954417</v>
      </c>
    </row>
    <row r="290" spans="1:31" x14ac:dyDescent="0.3">
      <c r="A290">
        <v>288</v>
      </c>
      <c r="B290" t="s">
        <v>216</v>
      </c>
      <c r="C290" t="s">
        <v>188</v>
      </c>
      <c r="D290">
        <v>2</v>
      </c>
      <c r="E290" s="7" t="s">
        <v>21</v>
      </c>
      <c r="F290">
        <v>3</v>
      </c>
      <c r="G290" t="s">
        <v>27</v>
      </c>
      <c r="H290" t="s">
        <v>524</v>
      </c>
      <c r="I290" t="s">
        <v>440</v>
      </c>
      <c r="J290">
        <v>0.497</v>
      </c>
      <c r="K290">
        <v>7.6999999999999999E-2</v>
      </c>
      <c r="L290" s="7">
        <v>1.54</v>
      </c>
      <c r="M290">
        <v>1.44</v>
      </c>
      <c r="N290">
        <v>1.66</v>
      </c>
      <c r="O290">
        <v>1.74</v>
      </c>
      <c r="P290">
        <f t="shared" si="4"/>
        <v>1.595</v>
      </c>
      <c r="Q290">
        <v>0.16024536049190835</v>
      </c>
      <c r="R290">
        <v>0.55669885962400112</v>
      </c>
      <c r="S290">
        <v>0.89544705966299787</v>
      </c>
      <c r="T290">
        <v>0.94681296192701325</v>
      </c>
      <c r="U290">
        <v>0.25437966832753411</v>
      </c>
      <c r="V290">
        <v>2.3735805184395681E-2</v>
      </c>
      <c r="W290">
        <v>545</v>
      </c>
      <c r="X290">
        <v>746</v>
      </c>
      <c r="Y290">
        <v>0.83593371618349122</v>
      </c>
      <c r="Z290">
        <v>7.7828157772721604E-2</v>
      </c>
      <c r="AB290">
        <v>17.610094610134048</v>
      </c>
      <c r="AC290">
        <v>15.762009308192015</v>
      </c>
      <c r="AD290">
        <v>61.962535810437373</v>
      </c>
    </row>
    <row r="291" spans="1:31" x14ac:dyDescent="0.3">
      <c r="A291">
        <v>289</v>
      </c>
      <c r="B291" t="s">
        <v>216</v>
      </c>
      <c r="C291" t="s">
        <v>188</v>
      </c>
      <c r="D291">
        <v>2</v>
      </c>
      <c r="E291" s="7" t="s">
        <v>21</v>
      </c>
      <c r="F291">
        <v>4</v>
      </c>
      <c r="G291" t="s">
        <v>192</v>
      </c>
      <c r="H291" t="s">
        <v>525</v>
      </c>
      <c r="I291" t="s">
        <v>442</v>
      </c>
      <c r="J291">
        <v>0.36399999999999999</v>
      </c>
      <c r="K291">
        <v>7.1999999999999995E-2</v>
      </c>
      <c r="L291" s="7">
        <v>1.65</v>
      </c>
      <c r="M291">
        <v>1.75</v>
      </c>
      <c r="N291">
        <v>1.69</v>
      </c>
      <c r="O291">
        <v>1.6</v>
      </c>
      <c r="P291">
        <f t="shared" si="4"/>
        <v>1.6724999999999999</v>
      </c>
      <c r="Q291">
        <v>0.16105003590327377</v>
      </c>
      <c r="R291">
        <v>0.73822494957028972</v>
      </c>
      <c r="S291">
        <v>1.0177632880415113</v>
      </c>
      <c r="T291">
        <v>0.96954044977536813</v>
      </c>
      <c r="U291">
        <v>0.13181128117016494</v>
      </c>
      <c r="V291">
        <v>1.3434067196130323E-2</v>
      </c>
      <c r="W291">
        <v>561</v>
      </c>
      <c r="X291">
        <v>737</v>
      </c>
      <c r="Y291">
        <v>0.87108849731062299</v>
      </c>
      <c r="Z291">
        <v>5.9937721064351239E-2</v>
      </c>
      <c r="AB291">
        <v>14.16977063604643</v>
      </c>
      <c r="AC291">
        <v>12.68268936214136</v>
      </c>
      <c r="AD291">
        <v>96.218542521928285</v>
      </c>
    </row>
    <row r="292" spans="1:31" x14ac:dyDescent="0.3">
      <c r="A292">
        <v>290</v>
      </c>
      <c r="B292" t="s">
        <v>216</v>
      </c>
      <c r="C292" t="s">
        <v>188</v>
      </c>
      <c r="D292">
        <v>2</v>
      </c>
      <c r="E292" s="7" t="s">
        <v>21</v>
      </c>
      <c r="F292">
        <v>6</v>
      </c>
      <c r="G292" t="s">
        <v>22</v>
      </c>
      <c r="H292" t="s">
        <v>526</v>
      </c>
      <c r="I292" t="s">
        <v>444</v>
      </c>
      <c r="J292">
        <v>1.07</v>
      </c>
      <c r="K292">
        <v>0.39600000000000002</v>
      </c>
      <c r="L292" s="7">
        <v>3.75</v>
      </c>
      <c r="M292">
        <v>5.04</v>
      </c>
      <c r="N292">
        <v>4.3600000000000003</v>
      </c>
      <c r="O292">
        <v>4.5199999999999996</v>
      </c>
      <c r="P292">
        <f t="shared" si="4"/>
        <v>4.4174999999999995</v>
      </c>
      <c r="Q292">
        <v>7.0396905032483637E-2</v>
      </c>
      <c r="R292">
        <v>0.2052129806935214</v>
      </c>
      <c r="S292">
        <v>0.90031980294962655</v>
      </c>
      <c r="T292">
        <v>1.0085408598248871</v>
      </c>
      <c r="U292">
        <v>0.68779517150726643</v>
      </c>
      <c r="V292">
        <v>-3.6934978259408665E-3</v>
      </c>
      <c r="W292">
        <v>394</v>
      </c>
      <c r="X292">
        <v>602</v>
      </c>
      <c r="Y292">
        <v>0.74806593821294398</v>
      </c>
      <c r="Z292">
        <v>0.12606011959555796</v>
      </c>
      <c r="AB292">
        <v>28.686094256450279</v>
      </c>
      <c r="AC292">
        <v>25.675666954072543</v>
      </c>
      <c r="AD292">
        <v>37.330397213760151</v>
      </c>
    </row>
    <row r="293" spans="1:31" x14ac:dyDescent="0.3">
      <c r="A293">
        <v>291</v>
      </c>
      <c r="B293" t="s">
        <v>216</v>
      </c>
      <c r="C293" t="s">
        <v>188</v>
      </c>
      <c r="D293">
        <v>2</v>
      </c>
      <c r="E293" s="7" t="s">
        <v>21</v>
      </c>
      <c r="F293">
        <v>10</v>
      </c>
      <c r="G293" t="s">
        <v>29</v>
      </c>
      <c r="H293" t="s">
        <v>527</v>
      </c>
      <c r="I293" t="s">
        <v>451</v>
      </c>
      <c r="J293">
        <v>0.80600000000000005</v>
      </c>
      <c r="K293">
        <v>0.22800000000000001</v>
      </c>
      <c r="L293" s="7">
        <v>2.4</v>
      </c>
      <c r="M293">
        <v>3.09</v>
      </c>
      <c r="N293">
        <v>2.62</v>
      </c>
      <c r="O293">
        <v>2.58</v>
      </c>
      <c r="P293">
        <f t="shared" si="4"/>
        <v>2.6724999999999999</v>
      </c>
      <c r="Q293">
        <v>0.12289674621034416</v>
      </c>
      <c r="R293">
        <v>0.58634783808576274</v>
      </c>
      <c r="S293">
        <v>0.87847259993653171</v>
      </c>
      <c r="T293">
        <v>1.0004994878828035</v>
      </c>
      <c r="U293">
        <v>0.23184467178972917</v>
      </c>
      <c r="V293">
        <v>-2.1687067365004688E-4</v>
      </c>
      <c r="W293">
        <v>481</v>
      </c>
      <c r="X293">
        <v>722</v>
      </c>
      <c r="Y293">
        <v>0.76195361539671413</v>
      </c>
      <c r="Z293">
        <v>0.11807146591814149</v>
      </c>
      <c r="AB293">
        <v>26.670026109873046</v>
      </c>
      <c r="AC293">
        <v>23.871178490832325</v>
      </c>
      <c r="AD293">
        <v>102.96194562746828</v>
      </c>
    </row>
    <row r="294" spans="1:31" x14ac:dyDescent="0.3">
      <c r="A294">
        <v>292</v>
      </c>
      <c r="B294" t="s">
        <v>216</v>
      </c>
      <c r="C294" t="s">
        <v>188</v>
      </c>
      <c r="D294">
        <v>2</v>
      </c>
      <c r="E294" s="7" t="s">
        <v>21</v>
      </c>
      <c r="F294">
        <v>15</v>
      </c>
      <c r="G294" t="s">
        <v>23</v>
      </c>
      <c r="H294" t="s">
        <v>528</v>
      </c>
      <c r="I294" t="s">
        <v>430</v>
      </c>
      <c r="J294">
        <v>0.215</v>
      </c>
      <c r="K294">
        <v>0.03</v>
      </c>
      <c r="L294">
        <v>1.75</v>
      </c>
      <c r="M294">
        <v>1.75</v>
      </c>
      <c r="N294">
        <v>1.78</v>
      </c>
      <c r="O294">
        <v>1.48</v>
      </c>
      <c r="P294">
        <f t="shared" si="4"/>
        <v>1.69</v>
      </c>
      <c r="Q294">
        <v>0.1108872921832747</v>
      </c>
      <c r="R294">
        <v>0.64977282339167519</v>
      </c>
      <c r="S294">
        <v>0.92183137822113614</v>
      </c>
      <c r="T294">
        <v>0.9752228277383358</v>
      </c>
      <c r="U294">
        <v>0.1872384568843117</v>
      </c>
      <c r="V294">
        <v>1.0896141429090969E-2</v>
      </c>
      <c r="W294">
        <v>518</v>
      </c>
      <c r="X294">
        <v>703</v>
      </c>
      <c r="Y294">
        <v>0.84302581725262138</v>
      </c>
      <c r="Z294">
        <v>7.415912511586957E-2</v>
      </c>
      <c r="AB294">
        <v>16.875074658730028</v>
      </c>
      <c r="AC294">
        <v>15.104118991508658</v>
      </c>
      <c r="AD294">
        <v>80.667824563631072</v>
      </c>
    </row>
    <row r="295" spans="1:31" x14ac:dyDescent="0.3">
      <c r="A295">
        <v>293</v>
      </c>
      <c r="B295" t="s">
        <v>216</v>
      </c>
      <c r="C295" t="s">
        <v>188</v>
      </c>
      <c r="D295">
        <v>3</v>
      </c>
      <c r="E295" s="7" t="s">
        <v>21</v>
      </c>
      <c r="F295">
        <v>2</v>
      </c>
      <c r="G295" t="s">
        <v>24</v>
      </c>
      <c r="H295" t="s">
        <v>529</v>
      </c>
      <c r="I295" t="s">
        <v>434</v>
      </c>
      <c r="J295">
        <v>0.67200000000000004</v>
      </c>
      <c r="K295">
        <v>0.22800000000000001</v>
      </c>
      <c r="L295" s="7">
        <v>2.89</v>
      </c>
      <c r="M295">
        <v>1.97</v>
      </c>
      <c r="N295">
        <v>2.63</v>
      </c>
      <c r="O295">
        <v>2.13</v>
      </c>
      <c r="P295">
        <f t="shared" si="4"/>
        <v>2.4050000000000002</v>
      </c>
      <c r="Q295">
        <v>0.11149716543777424</v>
      </c>
      <c r="R295">
        <v>0.49697178961894106</v>
      </c>
      <c r="S295">
        <v>0.82781031868467581</v>
      </c>
      <c r="T295">
        <v>0.9587114920030021</v>
      </c>
      <c r="U295">
        <v>0.30366826309875711</v>
      </c>
      <c r="V295">
        <v>1.8312066742017179E-2</v>
      </c>
      <c r="W295">
        <v>335</v>
      </c>
      <c r="X295">
        <v>571</v>
      </c>
      <c r="Y295">
        <v>0.67003526858383067</v>
      </c>
      <c r="Z295">
        <v>0.17390233677944722</v>
      </c>
      <c r="AB295">
        <v>42.268272702162207</v>
      </c>
      <c r="AC295">
        <v>37.832375296979436</v>
      </c>
      <c r="AD295">
        <v>124.5845545758459</v>
      </c>
    </row>
    <row r="296" spans="1:31" x14ac:dyDescent="0.3">
      <c r="A296">
        <v>294</v>
      </c>
      <c r="B296" t="s">
        <v>216</v>
      </c>
      <c r="C296" t="s">
        <v>188</v>
      </c>
      <c r="D296">
        <v>3</v>
      </c>
      <c r="E296" s="7" t="s">
        <v>21</v>
      </c>
      <c r="F296">
        <v>5</v>
      </c>
      <c r="G296" t="s">
        <v>28</v>
      </c>
      <c r="H296" t="s">
        <v>530</v>
      </c>
      <c r="I296" t="s">
        <v>438</v>
      </c>
      <c r="J296">
        <v>0.68100000000000005</v>
      </c>
      <c r="K296">
        <v>0.19900000000000001</v>
      </c>
      <c r="L296" s="7">
        <v>4.97</v>
      </c>
      <c r="M296">
        <v>2.86</v>
      </c>
      <c r="N296">
        <v>2.98</v>
      </c>
      <c r="O296">
        <v>4.5999999999999996</v>
      </c>
      <c r="P296">
        <f t="shared" si="4"/>
        <v>3.8525</v>
      </c>
      <c r="Q296">
        <v>0.18654360660903863</v>
      </c>
      <c r="R296">
        <v>0.23756378444873613</v>
      </c>
      <c r="S296">
        <v>0.86854227771894388</v>
      </c>
      <c r="T296">
        <v>0.95326330894255606</v>
      </c>
      <c r="U296">
        <v>0.6242197649234219</v>
      </c>
      <c r="V296">
        <v>2.0787122629205762E-2</v>
      </c>
      <c r="W296">
        <v>336</v>
      </c>
      <c r="X296">
        <v>561</v>
      </c>
      <c r="Y296">
        <v>0.68404823269513981</v>
      </c>
      <c r="Z296">
        <v>0.16491327480791165</v>
      </c>
      <c r="AB296">
        <v>39.51909028071249</v>
      </c>
      <c r="AC296">
        <v>35.371731316790019</v>
      </c>
      <c r="AD296">
        <v>56.665509976489382</v>
      </c>
    </row>
    <row r="297" spans="1:31" x14ac:dyDescent="0.3">
      <c r="A297">
        <v>295</v>
      </c>
      <c r="B297" t="s">
        <v>216</v>
      </c>
      <c r="C297" t="s">
        <v>188</v>
      </c>
      <c r="D297">
        <v>3</v>
      </c>
      <c r="E297" s="7" t="s">
        <v>21</v>
      </c>
      <c r="F297">
        <v>6</v>
      </c>
      <c r="G297" t="s">
        <v>22</v>
      </c>
      <c r="H297" t="s">
        <v>531</v>
      </c>
      <c r="I297" t="s">
        <v>444</v>
      </c>
      <c r="J297">
        <v>1.002</v>
      </c>
      <c r="K297">
        <v>0.37</v>
      </c>
      <c r="L297" s="7">
        <v>3.79</v>
      </c>
      <c r="M297">
        <v>3.79</v>
      </c>
      <c r="N297">
        <v>4.08</v>
      </c>
      <c r="O297">
        <v>3.42</v>
      </c>
      <c r="P297">
        <f t="shared" si="4"/>
        <v>3.77</v>
      </c>
      <c r="Q297">
        <v>7.7433374692128243E-2</v>
      </c>
      <c r="R297">
        <v>0.13711066434894928</v>
      </c>
      <c r="S297">
        <v>0.85106063300794599</v>
      </c>
      <c r="T297">
        <v>0.9713502147418589</v>
      </c>
      <c r="U297">
        <v>0.86292876484738512</v>
      </c>
      <c r="V297">
        <v>1.2624159476294271E-2</v>
      </c>
      <c r="W297">
        <v>438</v>
      </c>
      <c r="X297">
        <v>677</v>
      </c>
      <c r="Y297">
        <v>0.73972122247300665</v>
      </c>
      <c r="Z297">
        <v>0.13093192128632564</v>
      </c>
      <c r="AB297">
        <v>29.950955273167644</v>
      </c>
      <c r="AC297">
        <v>26.807783456851006</v>
      </c>
      <c r="AD297">
        <v>31.066044555360424</v>
      </c>
    </row>
    <row r="298" spans="1:31" x14ac:dyDescent="0.3">
      <c r="A298">
        <v>296</v>
      </c>
      <c r="B298" t="s">
        <v>216</v>
      </c>
      <c r="C298" t="s">
        <v>188</v>
      </c>
      <c r="D298">
        <v>3</v>
      </c>
      <c r="E298" s="7" t="s">
        <v>21</v>
      </c>
      <c r="F298">
        <v>7</v>
      </c>
      <c r="G298" t="s">
        <v>27</v>
      </c>
      <c r="H298" t="s">
        <v>532</v>
      </c>
      <c r="I298" t="s">
        <v>440</v>
      </c>
      <c r="J298">
        <v>0.10299999999999999</v>
      </c>
      <c r="K298">
        <v>1.4E-2</v>
      </c>
      <c r="L298" s="7">
        <v>1.45</v>
      </c>
      <c r="M298">
        <v>1.24</v>
      </c>
      <c r="N298">
        <v>1.42</v>
      </c>
      <c r="O298">
        <v>1.4</v>
      </c>
      <c r="P298">
        <f t="shared" si="4"/>
        <v>1.3774999999999999</v>
      </c>
      <c r="Q298">
        <v>0.16127904891961467</v>
      </c>
      <c r="R298">
        <v>0.44149321491786586</v>
      </c>
      <c r="S298">
        <v>0.93183171413260268</v>
      </c>
      <c r="T298">
        <v>0.92147634765416808</v>
      </c>
      <c r="U298">
        <v>0.35507596648363421</v>
      </c>
      <c r="V298">
        <v>3.551580772120589E-2</v>
      </c>
      <c r="W298">
        <v>502</v>
      </c>
      <c r="X298">
        <v>682</v>
      </c>
      <c r="Y298">
        <v>0.84207578303586295</v>
      </c>
      <c r="Z298">
        <v>7.4648822190042013E-2</v>
      </c>
      <c r="AB298">
        <v>16.972296806932178</v>
      </c>
      <c r="AC298">
        <v>15.191139139798523</v>
      </c>
      <c r="AD298">
        <v>42.782786146408185</v>
      </c>
    </row>
    <row r="299" spans="1:31" x14ac:dyDescent="0.3">
      <c r="A299">
        <v>297</v>
      </c>
      <c r="B299" t="s">
        <v>216</v>
      </c>
      <c r="C299" t="s">
        <v>188</v>
      </c>
      <c r="D299">
        <v>3</v>
      </c>
      <c r="E299" s="7" t="s">
        <v>21</v>
      </c>
      <c r="F299">
        <v>9</v>
      </c>
      <c r="G299" t="s">
        <v>29</v>
      </c>
      <c r="H299" t="s">
        <v>533</v>
      </c>
      <c r="I299" t="s">
        <v>451</v>
      </c>
      <c r="J299">
        <v>1.1519999999999999</v>
      </c>
      <c r="K299">
        <v>0.32700000000000001</v>
      </c>
      <c r="L299" s="7">
        <v>2</v>
      </c>
      <c r="M299">
        <v>1.92</v>
      </c>
      <c r="N299">
        <v>1.98</v>
      </c>
      <c r="O299">
        <v>2.75</v>
      </c>
      <c r="P299">
        <f t="shared" si="4"/>
        <v>2.1625000000000001</v>
      </c>
      <c r="Q299">
        <v>0.11710369398206605</v>
      </c>
      <c r="R299">
        <v>0.51326218269085389</v>
      </c>
      <c r="S299">
        <v>0.82251280667792892</v>
      </c>
      <c r="T299">
        <v>1.0312337499350019</v>
      </c>
      <c r="U299">
        <v>0.28966073350608851</v>
      </c>
      <c r="V299">
        <v>-1.3357118048490027E-2</v>
      </c>
      <c r="W299">
        <v>447</v>
      </c>
      <c r="X299">
        <v>717</v>
      </c>
      <c r="Y299">
        <v>0.71281244600587446</v>
      </c>
      <c r="Z299">
        <v>0.14702472594019969</v>
      </c>
      <c r="AB299">
        <v>34.319638940625893</v>
      </c>
      <c r="AC299">
        <v>30.717974895719287</v>
      </c>
      <c r="AD299">
        <v>106.04811540696321</v>
      </c>
    </row>
    <row r="300" spans="1:31" x14ac:dyDescent="0.3">
      <c r="A300">
        <v>298</v>
      </c>
      <c r="B300" t="s">
        <v>216</v>
      </c>
      <c r="C300" t="s">
        <v>188</v>
      </c>
      <c r="D300">
        <v>3</v>
      </c>
      <c r="E300" s="7" t="s">
        <v>21</v>
      </c>
      <c r="F300">
        <v>11</v>
      </c>
      <c r="G300" t="s">
        <v>23</v>
      </c>
      <c r="H300" t="s">
        <v>534</v>
      </c>
      <c r="I300" t="s">
        <v>430</v>
      </c>
      <c r="J300">
        <v>0.22700000000000001</v>
      </c>
      <c r="K300">
        <v>3.1E-2</v>
      </c>
      <c r="L300" s="7">
        <v>1.37</v>
      </c>
      <c r="M300">
        <v>1.8</v>
      </c>
      <c r="N300">
        <v>1.66</v>
      </c>
      <c r="O300">
        <v>1.6</v>
      </c>
      <c r="P300">
        <f t="shared" si="4"/>
        <v>1.6074999999999999</v>
      </c>
      <c r="Q300">
        <v>0.10927035532917156</v>
      </c>
      <c r="R300">
        <v>0.49864266024843074</v>
      </c>
      <c r="S300">
        <v>0.94369990174463425</v>
      </c>
      <c r="T300">
        <v>0.94404534205352564</v>
      </c>
      <c r="U300">
        <v>0.3022105691576667</v>
      </c>
      <c r="V300">
        <v>2.500714624139844E-2</v>
      </c>
      <c r="W300">
        <v>483</v>
      </c>
      <c r="X300">
        <v>670</v>
      </c>
      <c r="Y300">
        <v>0.82460743069360332</v>
      </c>
      <c r="Z300">
        <v>8.3752756007267004E-2</v>
      </c>
      <c r="AB300">
        <v>18.829071420683647</v>
      </c>
      <c r="AC300">
        <v>16.853070509682439</v>
      </c>
      <c r="AD300">
        <v>55.765986466509055</v>
      </c>
    </row>
    <row r="301" spans="1:31" x14ac:dyDescent="0.3">
      <c r="A301">
        <v>299</v>
      </c>
      <c r="B301" t="s">
        <v>216</v>
      </c>
      <c r="C301" t="s">
        <v>188</v>
      </c>
      <c r="D301">
        <v>4</v>
      </c>
      <c r="E301" s="7" t="s">
        <v>21</v>
      </c>
      <c r="F301">
        <v>1</v>
      </c>
      <c r="G301" t="s">
        <v>29</v>
      </c>
      <c r="H301" t="s">
        <v>535</v>
      </c>
      <c r="I301" t="s">
        <v>451</v>
      </c>
      <c r="J301">
        <v>0.82</v>
      </c>
      <c r="K301">
        <v>0.222</v>
      </c>
      <c r="L301" s="7">
        <v>3.03</v>
      </c>
      <c r="M301">
        <v>2.68</v>
      </c>
      <c r="N301">
        <v>2.35</v>
      </c>
      <c r="O301">
        <v>2.33</v>
      </c>
      <c r="P301">
        <f t="shared" si="4"/>
        <v>2.5975000000000001</v>
      </c>
      <c r="Q301">
        <v>0.12140025108877138</v>
      </c>
      <c r="R301">
        <v>0.57976329782744862</v>
      </c>
      <c r="S301">
        <v>0.83709761665979376</v>
      </c>
      <c r="T301">
        <v>0.99989347586812682</v>
      </c>
      <c r="U301">
        <v>0.23674928131550299</v>
      </c>
      <c r="V301">
        <v>4.626530689165167E-5</v>
      </c>
      <c r="W301">
        <v>468</v>
      </c>
      <c r="X301">
        <v>700</v>
      </c>
      <c r="Y301">
        <v>0.76460481099656352</v>
      </c>
      <c r="Z301">
        <v>0.11656297366895692</v>
      </c>
      <c r="AB301">
        <v>26.297423668121887</v>
      </c>
      <c r="AC301">
        <v>23.537679092085842</v>
      </c>
      <c r="AD301">
        <v>99.420276848563887</v>
      </c>
    </row>
    <row r="302" spans="1:31" x14ac:dyDescent="0.3">
      <c r="A302">
        <v>300</v>
      </c>
      <c r="B302" t="s">
        <v>216</v>
      </c>
      <c r="C302" t="s">
        <v>188</v>
      </c>
      <c r="D302">
        <v>4</v>
      </c>
      <c r="E302" s="7" t="s">
        <v>21</v>
      </c>
      <c r="F302">
        <v>2</v>
      </c>
      <c r="G302" t="s">
        <v>28</v>
      </c>
      <c r="H302" t="s">
        <v>536</v>
      </c>
      <c r="I302" t="s">
        <v>438</v>
      </c>
      <c r="J302">
        <v>0.42499999999999999</v>
      </c>
      <c r="K302">
        <v>0.11700000000000001</v>
      </c>
      <c r="L302" s="7">
        <v>1.8</v>
      </c>
      <c r="M302">
        <v>1.75</v>
      </c>
      <c r="N302">
        <v>1.98</v>
      </c>
      <c r="O302">
        <v>2.25</v>
      </c>
      <c r="P302">
        <f t="shared" si="4"/>
        <v>1.9449999999999998</v>
      </c>
      <c r="Q302">
        <v>9.9429933186004738E-2</v>
      </c>
      <c r="R302">
        <v>0.47877410403281107</v>
      </c>
      <c r="S302">
        <v>0.86907070864310176</v>
      </c>
      <c r="T302">
        <v>0.96095669264815986</v>
      </c>
      <c r="U302">
        <v>0.31986934778066095</v>
      </c>
      <c r="V302">
        <v>1.7296184202147784E-2</v>
      </c>
      <c r="W302">
        <v>482</v>
      </c>
      <c r="X302">
        <v>700</v>
      </c>
      <c r="Y302">
        <v>0.78757577098358478</v>
      </c>
      <c r="Z302">
        <v>0.10370765298336986</v>
      </c>
      <c r="AB302">
        <v>23.226394419750196</v>
      </c>
      <c r="AC302">
        <v>20.78893669458639</v>
      </c>
      <c r="AD302">
        <v>64.991962621068851</v>
      </c>
    </row>
    <row r="303" spans="1:31" x14ac:dyDescent="0.3">
      <c r="A303">
        <v>301</v>
      </c>
      <c r="B303" t="s">
        <v>216</v>
      </c>
      <c r="C303" t="s">
        <v>188</v>
      </c>
      <c r="D303">
        <v>4</v>
      </c>
      <c r="E303" s="7" t="s">
        <v>21</v>
      </c>
      <c r="F303">
        <v>5</v>
      </c>
      <c r="G303" t="s">
        <v>27</v>
      </c>
      <c r="H303" t="s">
        <v>537</v>
      </c>
      <c r="I303" t="s">
        <v>440</v>
      </c>
      <c r="J303">
        <v>0.86399999999999999</v>
      </c>
      <c r="K303">
        <v>0.13</v>
      </c>
      <c r="L303" s="7">
        <v>1.2</v>
      </c>
      <c r="M303">
        <v>1.18</v>
      </c>
      <c r="N303">
        <v>1.45</v>
      </c>
      <c r="O303">
        <v>1.35</v>
      </c>
      <c r="P303">
        <f t="shared" si="4"/>
        <v>1.2949999999999999</v>
      </c>
      <c r="Q303">
        <v>0.11005085786723708</v>
      </c>
      <c r="R303">
        <v>0.34566250995311965</v>
      </c>
      <c r="S303">
        <v>0.81710713299009818</v>
      </c>
      <c r="T303">
        <v>0.92130823804694439</v>
      </c>
      <c r="U303">
        <v>0.46134772084347753</v>
      </c>
      <c r="V303">
        <v>3.5595045495974746E-2</v>
      </c>
      <c r="W303">
        <v>410</v>
      </c>
      <c r="X303">
        <v>623</v>
      </c>
      <c r="Y303">
        <v>0.75231212914774415</v>
      </c>
      <c r="Z303">
        <v>0.12360193621421445</v>
      </c>
      <c r="AB303">
        <v>28.058053932630358</v>
      </c>
      <c r="AC303">
        <v>25.113537717710223</v>
      </c>
      <c r="AD303">
        <v>54.435161556223555</v>
      </c>
    </row>
    <row r="304" spans="1:31" x14ac:dyDescent="0.3">
      <c r="A304">
        <v>302</v>
      </c>
      <c r="B304" t="s">
        <v>217</v>
      </c>
      <c r="C304" t="s">
        <v>189</v>
      </c>
      <c r="D304">
        <v>1</v>
      </c>
      <c r="E304" s="7" t="s">
        <v>21</v>
      </c>
      <c r="F304">
        <v>1</v>
      </c>
      <c r="G304" t="s">
        <v>28</v>
      </c>
      <c r="H304" t="s">
        <v>538</v>
      </c>
      <c r="I304" t="s">
        <v>438</v>
      </c>
      <c r="J304">
        <v>0.46</v>
      </c>
      <c r="K304">
        <v>0.128</v>
      </c>
      <c r="L304" s="7">
        <v>1.68</v>
      </c>
      <c r="M304">
        <v>1.48</v>
      </c>
      <c r="N304">
        <v>1.49</v>
      </c>
      <c r="O304">
        <v>1.63</v>
      </c>
      <c r="P304">
        <f t="shared" si="4"/>
        <v>1.57</v>
      </c>
      <c r="Q304">
        <v>4.4200832901285327E-2</v>
      </c>
      <c r="R304">
        <v>2.9716600682690997E-2</v>
      </c>
      <c r="S304">
        <v>0.69224346996703057</v>
      </c>
      <c r="T304">
        <v>0.80975961804328722</v>
      </c>
      <c r="U304">
        <v>1.5270008715327426</v>
      </c>
      <c r="V304">
        <v>9.1643884888246263E-2</v>
      </c>
      <c r="W304">
        <v>454</v>
      </c>
      <c r="X304">
        <v>566</v>
      </c>
      <c r="Y304">
        <v>0.79782060160310753</v>
      </c>
      <c r="Z304">
        <v>9.8094753377108573E-2</v>
      </c>
      <c r="AB304">
        <v>21.944058385204542</v>
      </c>
      <c r="AC304">
        <v>19.641171767831267</v>
      </c>
      <c r="AD304">
        <v>12.862580587865835</v>
      </c>
      <c r="AE304" t="s">
        <v>226</v>
      </c>
    </row>
    <row r="305" spans="1:31" x14ac:dyDescent="0.3">
      <c r="A305">
        <v>303</v>
      </c>
      <c r="B305" t="s">
        <v>217</v>
      </c>
      <c r="C305" t="s">
        <v>189</v>
      </c>
      <c r="D305">
        <v>1</v>
      </c>
      <c r="E305" s="7" t="s">
        <v>21</v>
      </c>
      <c r="F305">
        <v>4</v>
      </c>
      <c r="G305" t="s">
        <v>22</v>
      </c>
      <c r="H305" t="s">
        <v>539</v>
      </c>
      <c r="I305" t="s">
        <v>444</v>
      </c>
      <c r="J305">
        <v>2</v>
      </c>
      <c r="K305">
        <v>0.86</v>
      </c>
      <c r="L305" s="7">
        <v>5.1100000000000003</v>
      </c>
      <c r="M305">
        <v>5.17</v>
      </c>
      <c r="N305">
        <v>4.13</v>
      </c>
      <c r="O305">
        <v>4.91</v>
      </c>
      <c r="P305">
        <f t="shared" si="4"/>
        <v>4.83</v>
      </c>
      <c r="Q305">
        <v>4.4935472783301143E-2</v>
      </c>
      <c r="R305">
        <v>7.8008059590764275E-2</v>
      </c>
      <c r="S305">
        <v>0.89546761223762539</v>
      </c>
      <c r="T305">
        <v>0.7733653132410987</v>
      </c>
      <c r="U305">
        <v>1.1078605248098856</v>
      </c>
      <c r="V305">
        <v>0.11161531067749948</v>
      </c>
      <c r="W305">
        <v>517</v>
      </c>
      <c r="X305">
        <v>620</v>
      </c>
      <c r="Y305">
        <v>0.82959221848110742</v>
      </c>
      <c r="Z305">
        <v>8.1135330252773197E-2</v>
      </c>
      <c r="AB305">
        <v>18.285651796530708</v>
      </c>
      <c r="AC305">
        <v>16.366675899046612</v>
      </c>
      <c r="AD305">
        <v>14.773227795850218</v>
      </c>
      <c r="AE305" t="s">
        <v>226</v>
      </c>
    </row>
    <row r="306" spans="1:31" x14ac:dyDescent="0.3">
      <c r="A306">
        <v>304</v>
      </c>
      <c r="B306" t="s">
        <v>217</v>
      </c>
      <c r="C306" t="s">
        <v>189</v>
      </c>
      <c r="D306">
        <v>1</v>
      </c>
      <c r="E306" s="7" t="s">
        <v>21</v>
      </c>
      <c r="F306">
        <v>5</v>
      </c>
      <c r="G306" t="s">
        <v>26</v>
      </c>
      <c r="H306" t="s">
        <v>540</v>
      </c>
      <c r="I306" t="s">
        <v>436</v>
      </c>
      <c r="J306">
        <v>0.95</v>
      </c>
      <c r="K306">
        <v>0.16800000000000001</v>
      </c>
      <c r="L306" s="7">
        <v>4.4400000000000004</v>
      </c>
      <c r="M306">
        <v>4.45</v>
      </c>
      <c r="N306">
        <v>5.17</v>
      </c>
      <c r="O306">
        <v>4.41</v>
      </c>
      <c r="P306">
        <f t="shared" si="4"/>
        <v>4.6174999999999997</v>
      </c>
      <c r="Q306">
        <v>3.8875873126008348E-2</v>
      </c>
      <c r="R306">
        <v>4.9434806616266022E-2</v>
      </c>
      <c r="S306">
        <v>0.82404498005569582</v>
      </c>
      <c r="T306">
        <v>0.84950864099264112</v>
      </c>
      <c r="U306">
        <v>1.3059671604185876</v>
      </c>
      <c r="V306">
        <v>7.0832199235975987E-2</v>
      </c>
      <c r="W306">
        <v>484</v>
      </c>
      <c r="X306">
        <v>599</v>
      </c>
      <c r="Y306">
        <v>0.8037456267495352</v>
      </c>
      <c r="Z306">
        <v>9.4881377095667893E-2</v>
      </c>
      <c r="AB306">
        <v>21.225939672933269</v>
      </c>
      <c r="AC306">
        <v>18.998413214161435</v>
      </c>
      <c r="AD306">
        <v>14.547389697051859</v>
      </c>
      <c r="AE306" t="s">
        <v>226</v>
      </c>
    </row>
    <row r="307" spans="1:31" x14ac:dyDescent="0.3">
      <c r="A307">
        <v>305</v>
      </c>
      <c r="B307" t="s">
        <v>217</v>
      </c>
      <c r="C307" t="s">
        <v>189</v>
      </c>
      <c r="D307">
        <v>1</v>
      </c>
      <c r="E307" s="7" t="s">
        <v>21</v>
      </c>
      <c r="F307">
        <v>9</v>
      </c>
      <c r="G307" t="s">
        <v>27</v>
      </c>
      <c r="H307" t="s">
        <v>541</v>
      </c>
      <c r="I307" t="s">
        <v>440</v>
      </c>
      <c r="J307">
        <v>0.93500000000000005</v>
      </c>
      <c r="K307">
        <v>0.30099999999999999</v>
      </c>
      <c r="L307" s="7">
        <v>1.89</v>
      </c>
      <c r="M307">
        <v>1.36</v>
      </c>
      <c r="N307">
        <v>1.3</v>
      </c>
      <c r="O307">
        <v>1.41</v>
      </c>
      <c r="P307">
        <f t="shared" si="4"/>
        <v>1.49</v>
      </c>
      <c r="Q307">
        <v>3.0234829073418481E-2</v>
      </c>
      <c r="R307">
        <v>5.1928145781795915E-2</v>
      </c>
      <c r="S307">
        <v>0.67500335209909346</v>
      </c>
      <c r="T307">
        <v>0.84491356575564558</v>
      </c>
      <c r="U307">
        <v>1.2845971846476025</v>
      </c>
      <c r="V307">
        <v>7.3187716890970742E-2</v>
      </c>
      <c r="W307">
        <v>411</v>
      </c>
      <c r="X307">
        <v>592</v>
      </c>
      <c r="Y307">
        <v>0.69010823869580928</v>
      </c>
      <c r="Z307">
        <v>0.16108278783995081</v>
      </c>
      <c r="AB307">
        <v>38.375318546097844</v>
      </c>
      <c r="AC307">
        <v>34.348002320457034</v>
      </c>
      <c r="AD307">
        <v>26.738344697431014</v>
      </c>
      <c r="AE307" t="s">
        <v>226</v>
      </c>
    </row>
    <row r="308" spans="1:31" x14ac:dyDescent="0.3">
      <c r="A308">
        <v>306</v>
      </c>
      <c r="B308" t="s">
        <v>217</v>
      </c>
      <c r="C308" t="s">
        <v>189</v>
      </c>
      <c r="D308">
        <v>2</v>
      </c>
      <c r="E308" s="7" t="s">
        <v>21</v>
      </c>
      <c r="F308">
        <v>1</v>
      </c>
      <c r="G308" t="s">
        <v>26</v>
      </c>
      <c r="H308" t="s">
        <v>542</v>
      </c>
      <c r="I308" t="s">
        <v>436</v>
      </c>
      <c r="J308">
        <v>2.516</v>
      </c>
      <c r="K308">
        <v>0.753</v>
      </c>
      <c r="L308" s="7">
        <v>1.23</v>
      </c>
      <c r="M308">
        <v>1.35</v>
      </c>
      <c r="N308">
        <v>1.42</v>
      </c>
      <c r="O308">
        <v>1.24</v>
      </c>
      <c r="P308">
        <f t="shared" si="4"/>
        <v>1.31</v>
      </c>
      <c r="Q308">
        <v>3.9163944168932194E-2</v>
      </c>
      <c r="R308">
        <v>4.355334275987708E-2</v>
      </c>
      <c r="S308">
        <v>0.72995653643905367</v>
      </c>
      <c r="T308">
        <v>0.7773729171169218</v>
      </c>
      <c r="U308">
        <v>1.3609785068685745</v>
      </c>
      <c r="V308">
        <v>0.10937059381995644</v>
      </c>
      <c r="W308">
        <v>441</v>
      </c>
      <c r="X308">
        <v>577</v>
      </c>
      <c r="Y308">
        <v>0.76005074903625636</v>
      </c>
      <c r="Z308">
        <v>0.11915740865265748</v>
      </c>
      <c r="AB308">
        <v>26.939848507673624</v>
      </c>
      <c r="AC308">
        <v>24.112684104027053</v>
      </c>
      <c r="AD308">
        <v>17.717167451458909</v>
      </c>
      <c r="AE308" t="s">
        <v>226</v>
      </c>
    </row>
    <row r="309" spans="1:31" x14ac:dyDescent="0.3">
      <c r="A309">
        <v>307</v>
      </c>
      <c r="B309" t="s">
        <v>217</v>
      </c>
      <c r="C309" t="s">
        <v>189</v>
      </c>
      <c r="D309">
        <v>2</v>
      </c>
      <c r="E309" s="7" t="s">
        <v>21</v>
      </c>
      <c r="F309">
        <v>5</v>
      </c>
      <c r="G309" t="s">
        <v>22</v>
      </c>
      <c r="H309" t="s">
        <v>543</v>
      </c>
      <c r="I309" t="s">
        <v>444</v>
      </c>
      <c r="J309">
        <v>1.03</v>
      </c>
      <c r="K309">
        <v>0.38600000000000001</v>
      </c>
      <c r="L309" s="7">
        <v>5.25</v>
      </c>
      <c r="M309">
        <v>5.1100000000000003</v>
      </c>
      <c r="N309">
        <v>5.66</v>
      </c>
      <c r="O309">
        <v>5.13</v>
      </c>
      <c r="P309">
        <f t="shared" si="4"/>
        <v>5.2874999999999996</v>
      </c>
      <c r="Q309">
        <v>3.8332709435550769E-2</v>
      </c>
      <c r="R309">
        <v>5.3678954438469567E-2</v>
      </c>
      <c r="S309">
        <v>0.68518884624592813</v>
      </c>
      <c r="T309">
        <v>0.75686369966444333</v>
      </c>
      <c r="U309">
        <v>1.2701959519677051</v>
      </c>
      <c r="V309">
        <v>0.12098232368795124</v>
      </c>
      <c r="W309">
        <v>470</v>
      </c>
      <c r="X309">
        <v>619</v>
      </c>
      <c r="Y309">
        <v>0.75510371134358178</v>
      </c>
      <c r="Z309">
        <v>0.12199339516426599</v>
      </c>
      <c r="AB309">
        <v>27.6507825121375</v>
      </c>
      <c r="AC309">
        <v>24.749008143296631</v>
      </c>
      <c r="AD309">
        <v>19.48440168224208</v>
      </c>
      <c r="AE309" t="s">
        <v>226</v>
      </c>
    </row>
    <row r="310" spans="1:31" x14ac:dyDescent="0.3">
      <c r="A310">
        <v>308</v>
      </c>
      <c r="B310" t="s">
        <v>217</v>
      </c>
      <c r="C310" t="s">
        <v>189</v>
      </c>
      <c r="D310">
        <v>2</v>
      </c>
      <c r="E310" s="7" t="s">
        <v>21</v>
      </c>
      <c r="F310">
        <v>9</v>
      </c>
      <c r="G310" t="s">
        <v>30</v>
      </c>
      <c r="H310" t="s">
        <v>544</v>
      </c>
      <c r="I310" t="s">
        <v>545</v>
      </c>
      <c r="J310" t="s">
        <v>225</v>
      </c>
      <c r="K310" t="s">
        <v>225</v>
      </c>
      <c r="L310" t="s">
        <v>225</v>
      </c>
      <c r="M310" t="s">
        <v>225</v>
      </c>
      <c r="N310" t="s">
        <v>225</v>
      </c>
      <c r="O310" t="s">
        <v>225</v>
      </c>
      <c r="P310" t="s">
        <v>225</v>
      </c>
      <c r="Q310">
        <v>3.5320179035091201E-2</v>
      </c>
      <c r="R310">
        <v>3.5691340569888083E-2</v>
      </c>
      <c r="S310">
        <v>0.71667398612413424</v>
      </c>
      <c r="T310">
        <v>0.88291588775321417</v>
      </c>
      <c r="U310">
        <v>1.4474371395990866</v>
      </c>
      <c r="V310">
        <v>5.408066813772152E-2</v>
      </c>
      <c r="W310">
        <v>473</v>
      </c>
      <c r="X310">
        <v>652</v>
      </c>
      <c r="Y310">
        <v>0.72136234136234145</v>
      </c>
      <c r="Z310">
        <v>0.14184653371910774</v>
      </c>
      <c r="AB310">
        <v>32.882007933933338</v>
      </c>
      <c r="AC310">
        <v>29.431224180325266</v>
      </c>
      <c r="AD310">
        <v>20.333334951234686</v>
      </c>
      <c r="AE310" t="s">
        <v>226</v>
      </c>
    </row>
    <row r="311" spans="1:31" x14ac:dyDescent="0.3">
      <c r="A311">
        <v>309</v>
      </c>
      <c r="B311" t="s">
        <v>217</v>
      </c>
      <c r="C311" t="s">
        <v>189</v>
      </c>
      <c r="D311">
        <v>2</v>
      </c>
      <c r="E311" s="7" t="s">
        <v>21</v>
      </c>
      <c r="F311">
        <v>10</v>
      </c>
      <c r="G311" t="s">
        <v>24</v>
      </c>
      <c r="H311" t="s">
        <v>546</v>
      </c>
      <c r="I311" t="s">
        <v>434</v>
      </c>
      <c r="J311">
        <v>3.08</v>
      </c>
      <c r="K311">
        <v>1.18</v>
      </c>
      <c r="L311" s="7">
        <v>5.22</v>
      </c>
      <c r="M311">
        <v>3.96</v>
      </c>
      <c r="N311">
        <v>4.3099999999999996</v>
      </c>
      <c r="O311">
        <v>3.9</v>
      </c>
      <c r="P311">
        <f t="shared" si="4"/>
        <v>4.3474999999999993</v>
      </c>
      <c r="Q311">
        <v>2.4569035478639478E-2</v>
      </c>
      <c r="R311">
        <v>7.9779039146137432E-2</v>
      </c>
      <c r="S311">
        <v>0.80849621252670301</v>
      </c>
      <c r="T311">
        <v>0.90240192882475101</v>
      </c>
      <c r="U311">
        <v>1.098111198610829</v>
      </c>
      <c r="V311">
        <v>4.4599985083859366E-2</v>
      </c>
      <c r="W311">
        <v>458</v>
      </c>
      <c r="X311">
        <v>624</v>
      </c>
      <c r="Y311">
        <v>0.72982775233579089</v>
      </c>
      <c r="Z311">
        <v>0.13677962623153214</v>
      </c>
      <c r="AB311">
        <v>31.504588274806252</v>
      </c>
      <c r="AC311">
        <v>28.198364437783532</v>
      </c>
      <c r="AD311">
        <v>25.678969919855124</v>
      </c>
      <c r="AE311" t="s">
        <v>226</v>
      </c>
    </row>
    <row r="312" spans="1:31" x14ac:dyDescent="0.3">
      <c r="A312">
        <v>310</v>
      </c>
      <c r="B312" t="s">
        <v>217</v>
      </c>
      <c r="C312" t="s">
        <v>189</v>
      </c>
      <c r="D312">
        <v>2</v>
      </c>
      <c r="E312" s="7" t="s">
        <v>21</v>
      </c>
      <c r="F312">
        <v>16</v>
      </c>
      <c r="G312" t="s">
        <v>27</v>
      </c>
      <c r="H312" t="s">
        <v>547</v>
      </c>
      <c r="I312" t="s">
        <v>440</v>
      </c>
      <c r="J312">
        <v>1.296</v>
      </c>
      <c r="K312">
        <v>0.36499999999999999</v>
      </c>
      <c r="L312" s="7">
        <v>2.46</v>
      </c>
      <c r="M312">
        <v>2.4500000000000002</v>
      </c>
      <c r="N312">
        <v>3.04</v>
      </c>
      <c r="O312">
        <v>2.88</v>
      </c>
      <c r="P312">
        <f t="shared" si="4"/>
        <v>2.7075</v>
      </c>
      <c r="Q312">
        <v>5.2497429368193245E-2</v>
      </c>
      <c r="R312">
        <v>9.3426548691155881E-2</v>
      </c>
      <c r="S312">
        <v>0.77327137527222778</v>
      </c>
      <c r="T312">
        <v>0.85842446229542746</v>
      </c>
      <c r="U312">
        <v>1.029529694308418</v>
      </c>
      <c r="V312">
        <v>6.6297914890491874E-2</v>
      </c>
      <c r="W312">
        <v>524</v>
      </c>
      <c r="X312">
        <v>688</v>
      </c>
      <c r="Y312">
        <v>0.75751685955767589</v>
      </c>
      <c r="Z312">
        <v>0.12060769690963792</v>
      </c>
      <c r="AB312">
        <v>27.302276426002187</v>
      </c>
      <c r="AC312">
        <v>24.437076566202805</v>
      </c>
      <c r="AD312">
        <v>23.73615516026306</v>
      </c>
      <c r="AE312" t="s">
        <v>226</v>
      </c>
    </row>
    <row r="313" spans="1:31" x14ac:dyDescent="0.3">
      <c r="A313">
        <v>311</v>
      </c>
      <c r="B313" t="s">
        <v>217</v>
      </c>
      <c r="C313" t="s">
        <v>189</v>
      </c>
      <c r="D313">
        <v>2</v>
      </c>
      <c r="E313" s="7" t="s">
        <v>21</v>
      </c>
      <c r="F313">
        <v>15</v>
      </c>
      <c r="G313" t="s">
        <v>192</v>
      </c>
      <c r="H313" t="s">
        <v>548</v>
      </c>
      <c r="I313" t="s">
        <v>442</v>
      </c>
      <c r="J313">
        <v>6.3680000000000003</v>
      </c>
      <c r="K313">
        <v>1.75</v>
      </c>
      <c r="L313" s="7">
        <v>2.52</v>
      </c>
      <c r="M313">
        <v>2.46</v>
      </c>
      <c r="N313">
        <v>2.08</v>
      </c>
      <c r="O313">
        <v>2.73</v>
      </c>
      <c r="P313">
        <f t="shared" si="4"/>
        <v>2.4475000000000002</v>
      </c>
      <c r="Q313">
        <v>3.6357482384139397E-2</v>
      </c>
      <c r="R313">
        <v>6.8768890808497421E-2</v>
      </c>
      <c r="S313">
        <v>0.8504791403592753</v>
      </c>
      <c r="T313">
        <v>0.88360015116760937</v>
      </c>
      <c r="U313">
        <v>1.1626079804512564</v>
      </c>
      <c r="V313">
        <v>5.3744218500859621E-2</v>
      </c>
      <c r="W313">
        <v>423</v>
      </c>
      <c r="X313">
        <v>568</v>
      </c>
      <c r="Y313">
        <v>0.7404770119728894</v>
      </c>
      <c r="Z313">
        <v>0.13048841955775156</v>
      </c>
      <c r="AB313">
        <v>29.834700274771869</v>
      </c>
      <c r="AC313">
        <v>26.703729223735998</v>
      </c>
      <c r="AD313">
        <v>22.968816378992319</v>
      </c>
      <c r="AE313" t="s">
        <v>226</v>
      </c>
    </row>
    <row r="314" spans="1:31" x14ac:dyDescent="0.3">
      <c r="A314">
        <v>312</v>
      </c>
      <c r="B314" t="s">
        <v>217</v>
      </c>
      <c r="C314" t="s">
        <v>189</v>
      </c>
      <c r="D314">
        <v>2</v>
      </c>
      <c r="E314" s="7" t="s">
        <v>21</v>
      </c>
      <c r="F314">
        <v>13</v>
      </c>
      <c r="G314" t="s">
        <v>25</v>
      </c>
      <c r="H314" t="s">
        <v>549</v>
      </c>
      <c r="I314" t="s">
        <v>432</v>
      </c>
      <c r="J314">
        <v>0.83299999999999996</v>
      </c>
      <c r="K314">
        <v>0.19</v>
      </c>
      <c r="L314" s="7">
        <v>1.17</v>
      </c>
      <c r="M314">
        <v>1.1599999999999999</v>
      </c>
      <c r="N314">
        <v>1.35</v>
      </c>
      <c r="O314">
        <v>1.31</v>
      </c>
      <c r="P314">
        <f t="shared" si="4"/>
        <v>1.2475000000000001</v>
      </c>
      <c r="Q314">
        <v>2.0122619125181995E-2</v>
      </c>
      <c r="R314">
        <v>4.7520664272538544E-2</v>
      </c>
      <c r="S314">
        <v>0.73850320362051614</v>
      </c>
      <c r="T314">
        <v>0.91378208170738939</v>
      </c>
      <c r="U314">
        <v>1.3231174971539332</v>
      </c>
      <c r="V314">
        <v>3.915736224868973E-2</v>
      </c>
      <c r="W314">
        <v>464</v>
      </c>
      <c r="X314">
        <v>715</v>
      </c>
      <c r="Y314">
        <v>0.64505739961560449</v>
      </c>
      <c r="Z314">
        <v>0.19040163850088837</v>
      </c>
      <c r="AB314">
        <v>47.551847320349452</v>
      </c>
      <c r="AC314">
        <v>42.561407687725975</v>
      </c>
      <c r="AD314">
        <v>32.167519346752563</v>
      </c>
      <c r="AE314" t="s">
        <v>226</v>
      </c>
    </row>
    <row r="315" spans="1:31" x14ac:dyDescent="0.3">
      <c r="A315">
        <v>313</v>
      </c>
      <c r="B315" t="s">
        <v>217</v>
      </c>
      <c r="C315" t="s">
        <v>189</v>
      </c>
      <c r="D315">
        <v>3</v>
      </c>
      <c r="E315" s="7" t="s">
        <v>21</v>
      </c>
      <c r="F315">
        <v>1</v>
      </c>
      <c r="G315" t="s">
        <v>26</v>
      </c>
      <c r="H315" t="s">
        <v>550</v>
      </c>
      <c r="I315" t="s">
        <v>436</v>
      </c>
      <c r="J315">
        <v>1.704</v>
      </c>
      <c r="K315">
        <v>0.57299999999999995</v>
      </c>
      <c r="L315" s="7">
        <v>1.7</v>
      </c>
      <c r="M315">
        <v>1.81</v>
      </c>
      <c r="N315">
        <v>1.19</v>
      </c>
      <c r="O315">
        <v>1.77</v>
      </c>
      <c r="P315">
        <f t="shared" si="4"/>
        <v>1.6174999999999997</v>
      </c>
      <c r="Q315">
        <v>4.0794661298150528E-2</v>
      </c>
      <c r="R315">
        <v>3.8316576567874516E-2</v>
      </c>
      <c r="S315">
        <v>0.68167251874221224</v>
      </c>
      <c r="T315">
        <v>0.83614595484819831</v>
      </c>
      <c r="U315">
        <v>1.416613300326742</v>
      </c>
      <c r="V315">
        <v>7.7717906947930515E-2</v>
      </c>
      <c r="W315">
        <v>399</v>
      </c>
      <c r="X315">
        <v>610</v>
      </c>
      <c r="Y315">
        <v>0.65002916592828874</v>
      </c>
      <c r="Z315">
        <v>0.18706715671476826</v>
      </c>
      <c r="AB315">
        <v>46.459255571760622</v>
      </c>
      <c r="AC315">
        <v>41.583490715444782</v>
      </c>
      <c r="AD315">
        <v>29.354158051356389</v>
      </c>
      <c r="AE315" t="s">
        <v>226</v>
      </c>
    </row>
    <row r="316" spans="1:31" x14ac:dyDescent="0.3">
      <c r="A316">
        <v>314</v>
      </c>
      <c r="B316" t="s">
        <v>217</v>
      </c>
      <c r="C316" t="s">
        <v>189</v>
      </c>
      <c r="D316">
        <v>3</v>
      </c>
      <c r="E316" s="7" t="s">
        <v>21</v>
      </c>
      <c r="F316">
        <v>2</v>
      </c>
      <c r="G316" t="s">
        <v>28</v>
      </c>
      <c r="H316" t="s">
        <v>551</v>
      </c>
      <c r="I316" t="s">
        <v>438</v>
      </c>
      <c r="J316">
        <v>1.823</v>
      </c>
      <c r="K316">
        <v>0.61</v>
      </c>
      <c r="L316" s="7">
        <v>4.4800000000000004</v>
      </c>
      <c r="M316">
        <v>4.45</v>
      </c>
      <c r="N316">
        <v>6.17</v>
      </c>
      <c r="O316">
        <v>3.74</v>
      </c>
      <c r="P316">
        <f t="shared" si="4"/>
        <v>4.71</v>
      </c>
      <c r="Q316">
        <v>3.1203922217033487E-2</v>
      </c>
      <c r="R316">
        <v>0.11006943709420985</v>
      </c>
      <c r="S316">
        <v>0.88075035955254888</v>
      </c>
      <c r="T316">
        <v>0.87769422743888925</v>
      </c>
      <c r="U316">
        <v>0.95833325454286522</v>
      </c>
      <c r="V316">
        <v>5.6656757972087732E-2</v>
      </c>
      <c r="W316">
        <v>430</v>
      </c>
      <c r="X316">
        <v>588</v>
      </c>
      <c r="Y316">
        <v>0.72709652459368046</v>
      </c>
      <c r="Z316">
        <v>0.138407931210067</v>
      </c>
      <c r="AB316">
        <v>31.944074911971526</v>
      </c>
      <c r="AC316">
        <v>28.591727167914819</v>
      </c>
      <c r="AD316">
        <v>29.834848193338928</v>
      </c>
      <c r="AE316" t="s">
        <v>226</v>
      </c>
    </row>
    <row r="317" spans="1:31" x14ac:dyDescent="0.3">
      <c r="A317">
        <v>315</v>
      </c>
      <c r="B317" t="s">
        <v>217</v>
      </c>
      <c r="C317" t="s">
        <v>189</v>
      </c>
      <c r="D317">
        <v>3</v>
      </c>
      <c r="E317" s="7" t="s">
        <v>21</v>
      </c>
      <c r="F317">
        <v>3</v>
      </c>
      <c r="G317" t="s">
        <v>29</v>
      </c>
      <c r="H317" t="s">
        <v>552</v>
      </c>
      <c r="I317" t="s">
        <v>451</v>
      </c>
      <c r="J317">
        <v>0.68300000000000005</v>
      </c>
      <c r="K317">
        <v>0.27200000000000002</v>
      </c>
      <c r="L317" s="7">
        <v>2.59</v>
      </c>
      <c r="M317">
        <v>2.36</v>
      </c>
      <c r="N317">
        <v>2.52</v>
      </c>
      <c r="O317">
        <v>3</v>
      </c>
      <c r="P317">
        <f t="shared" si="4"/>
        <v>2.6174999999999997</v>
      </c>
      <c r="Q317">
        <v>6.5819580178183401E-2</v>
      </c>
      <c r="R317">
        <v>5.7935435407158779E-2</v>
      </c>
      <c r="S317">
        <v>0.73592235911201032</v>
      </c>
      <c r="T317">
        <v>0.70868338654871532</v>
      </c>
      <c r="U317">
        <v>1.2370557247962954</v>
      </c>
      <c r="V317">
        <v>0.1495477481539465</v>
      </c>
      <c r="W317">
        <v>632</v>
      </c>
      <c r="X317">
        <v>690</v>
      </c>
      <c r="Y317">
        <v>0.91158679821470512</v>
      </c>
      <c r="Z317">
        <v>4.0201972987078033E-2</v>
      </c>
      <c r="AB317">
        <v>10.793944274616655</v>
      </c>
      <c r="AC317">
        <v>9.6610752296350775</v>
      </c>
      <c r="AD317">
        <v>7.8097332529025367</v>
      </c>
      <c r="AE317" t="s">
        <v>226</v>
      </c>
    </row>
    <row r="318" spans="1:31" x14ac:dyDescent="0.3">
      <c r="A318">
        <v>316</v>
      </c>
      <c r="B318" t="s">
        <v>217</v>
      </c>
      <c r="C318" t="s">
        <v>189</v>
      </c>
      <c r="D318">
        <v>3</v>
      </c>
      <c r="E318" s="7" t="s">
        <v>21</v>
      </c>
      <c r="F318">
        <v>4</v>
      </c>
      <c r="G318" t="s">
        <v>22</v>
      </c>
      <c r="H318" t="s">
        <v>553</v>
      </c>
      <c r="I318" t="s">
        <v>444</v>
      </c>
      <c r="J318">
        <v>1.3049999999999999</v>
      </c>
      <c r="K318">
        <v>0.49399999999999999</v>
      </c>
      <c r="L318" s="7">
        <v>6.42</v>
      </c>
      <c r="M318">
        <v>5.3</v>
      </c>
      <c r="N318">
        <v>5.19</v>
      </c>
      <c r="O318">
        <v>4.5999999999999996</v>
      </c>
      <c r="P318">
        <f t="shared" si="4"/>
        <v>5.3774999999999995</v>
      </c>
      <c r="Q318">
        <v>3.5514724745537511E-2</v>
      </c>
      <c r="R318">
        <v>5.9776409634008557E-2</v>
      </c>
      <c r="S318">
        <v>0.92834793257435821</v>
      </c>
      <c r="T318">
        <v>0.77236776703203391</v>
      </c>
      <c r="U318">
        <v>1.2234701736554661</v>
      </c>
      <c r="V318">
        <v>0.11217585878210228</v>
      </c>
      <c r="W318">
        <v>587</v>
      </c>
      <c r="X318">
        <v>701</v>
      </c>
      <c r="Y318">
        <v>0.83315270010548981</v>
      </c>
      <c r="Z318">
        <v>7.927539386864936E-2</v>
      </c>
      <c r="AB318">
        <v>17.904201898394327</v>
      </c>
      <c r="AC318">
        <v>16.02525409327755</v>
      </c>
      <c r="AD318">
        <v>13.098197600843454</v>
      </c>
      <c r="AE318" t="s">
        <v>226</v>
      </c>
    </row>
    <row r="319" spans="1:31" x14ac:dyDescent="0.3">
      <c r="A319">
        <v>317</v>
      </c>
      <c r="B319" t="s">
        <v>217</v>
      </c>
      <c r="C319" t="s">
        <v>189</v>
      </c>
      <c r="D319">
        <v>3</v>
      </c>
      <c r="E319" s="7" t="s">
        <v>21</v>
      </c>
      <c r="F319">
        <v>8</v>
      </c>
      <c r="G319" t="s">
        <v>192</v>
      </c>
      <c r="H319" t="s">
        <v>554</v>
      </c>
      <c r="I319" t="s">
        <v>442</v>
      </c>
      <c r="J319">
        <v>1.6859999999999999</v>
      </c>
      <c r="K319">
        <v>0.48399999999999999</v>
      </c>
      <c r="L319" s="7">
        <v>2.06</v>
      </c>
      <c r="M319">
        <v>2.06</v>
      </c>
      <c r="N319">
        <v>1.32</v>
      </c>
      <c r="O319">
        <v>1.93</v>
      </c>
      <c r="P319">
        <f t="shared" si="4"/>
        <v>1.8425</v>
      </c>
      <c r="Q319">
        <v>3.3481332662067521E-2</v>
      </c>
      <c r="R319">
        <v>0.11500799420580758</v>
      </c>
      <c r="S319">
        <v>0.74252491018922084</v>
      </c>
      <c r="T319">
        <v>0.91671810915726482</v>
      </c>
      <c r="U319">
        <v>0.93927197078723312</v>
      </c>
      <c r="V319">
        <v>3.7764189366190214E-2</v>
      </c>
      <c r="W319">
        <v>454</v>
      </c>
      <c r="X319">
        <v>683</v>
      </c>
      <c r="Y319">
        <v>0.66075010176821247</v>
      </c>
      <c r="Z319">
        <v>0.17996276130655139</v>
      </c>
      <c r="AB319">
        <v>44.173277174449865</v>
      </c>
      <c r="AC319">
        <v>39.537439567839925</v>
      </c>
      <c r="AD319">
        <v>42.093707464412425</v>
      </c>
      <c r="AE319" t="s">
        <v>226</v>
      </c>
    </row>
    <row r="320" spans="1:31" x14ac:dyDescent="0.3">
      <c r="A320">
        <v>318</v>
      </c>
      <c r="B320" t="s">
        <v>217</v>
      </c>
      <c r="C320" t="s">
        <v>189</v>
      </c>
      <c r="D320">
        <v>3</v>
      </c>
      <c r="E320" s="7" t="s">
        <v>21</v>
      </c>
      <c r="F320">
        <v>7</v>
      </c>
      <c r="G320" t="s">
        <v>23</v>
      </c>
      <c r="H320" t="s">
        <v>555</v>
      </c>
      <c r="I320" t="s">
        <v>430</v>
      </c>
      <c r="J320">
        <v>1.488</v>
      </c>
      <c r="K320">
        <v>0.41799999999999998</v>
      </c>
      <c r="L320" s="7">
        <v>2.85</v>
      </c>
      <c r="M320">
        <v>2.35</v>
      </c>
      <c r="N320">
        <v>1.97</v>
      </c>
      <c r="O320">
        <v>1.96</v>
      </c>
      <c r="P320">
        <f t="shared" si="4"/>
        <v>2.2824999999999998</v>
      </c>
      <c r="Q320">
        <v>3.119558783609945E-2</v>
      </c>
      <c r="R320">
        <v>8.1424830513138161E-2</v>
      </c>
      <c r="S320">
        <v>0.8734458603370796</v>
      </c>
      <c r="T320">
        <v>0.8053002774893776</v>
      </c>
      <c r="U320">
        <v>1.0892431367518576</v>
      </c>
      <c r="V320">
        <v>9.4042151258889567E-2</v>
      </c>
      <c r="W320">
        <v>486</v>
      </c>
      <c r="X320">
        <v>598</v>
      </c>
      <c r="Y320">
        <v>0.80843483304333419</v>
      </c>
      <c r="Z320">
        <v>9.2354982300972346E-2</v>
      </c>
      <c r="AB320">
        <v>20.669535131739305</v>
      </c>
      <c r="AC320">
        <v>18.500397969642737</v>
      </c>
      <c r="AD320">
        <v>16.984635794732895</v>
      </c>
      <c r="AE320" t="s">
        <v>226</v>
      </c>
    </row>
    <row r="321" spans="1:31" x14ac:dyDescent="0.3">
      <c r="A321">
        <v>319</v>
      </c>
      <c r="B321" t="s">
        <v>217</v>
      </c>
      <c r="C321" t="s">
        <v>189</v>
      </c>
      <c r="D321">
        <v>3</v>
      </c>
      <c r="E321" s="7" t="s">
        <v>21</v>
      </c>
      <c r="F321">
        <v>10</v>
      </c>
      <c r="G321" t="s">
        <v>24</v>
      </c>
      <c r="H321" t="s">
        <v>556</v>
      </c>
      <c r="I321" t="s">
        <v>434</v>
      </c>
      <c r="J321">
        <v>3.1440000000000001</v>
      </c>
      <c r="K321">
        <v>1.448</v>
      </c>
      <c r="L321" s="7">
        <v>4.9800000000000004</v>
      </c>
      <c r="M321">
        <v>4.0599999999999996</v>
      </c>
      <c r="N321">
        <v>3.3</v>
      </c>
      <c r="O321">
        <v>3.89</v>
      </c>
      <c r="P321">
        <f t="shared" si="4"/>
        <v>4.0575000000000001</v>
      </c>
      <c r="Q321">
        <v>4.4935472783301143E-2</v>
      </c>
      <c r="R321">
        <v>0.11094109967385879</v>
      </c>
      <c r="S321">
        <v>0.83838896476883651</v>
      </c>
      <c r="T321">
        <v>0.78174953991133977</v>
      </c>
      <c r="U321">
        <v>0.95490753360841996</v>
      </c>
      <c r="V321">
        <v>0.10693236568339834</v>
      </c>
      <c r="W321">
        <v>506</v>
      </c>
      <c r="X321">
        <v>635</v>
      </c>
      <c r="Y321">
        <v>0.79263408173360783</v>
      </c>
      <c r="Z321">
        <v>0.1009272577769782</v>
      </c>
      <c r="AB321">
        <v>22.586731454179379</v>
      </c>
      <c r="AC321">
        <v>20.216401552548461</v>
      </c>
      <c r="AD321">
        <v>21.171056715988403</v>
      </c>
      <c r="AE321" t="s">
        <v>226</v>
      </c>
    </row>
    <row r="322" spans="1:31" x14ac:dyDescent="0.3">
      <c r="A322">
        <v>320</v>
      </c>
      <c r="B322" t="s">
        <v>217</v>
      </c>
      <c r="C322" t="s">
        <v>189</v>
      </c>
      <c r="D322">
        <v>3</v>
      </c>
      <c r="E322" s="7" t="s">
        <v>21</v>
      </c>
      <c r="F322">
        <v>16</v>
      </c>
      <c r="G322" t="s">
        <v>27</v>
      </c>
      <c r="H322" t="s">
        <v>557</v>
      </c>
      <c r="I322" t="s">
        <v>440</v>
      </c>
      <c r="J322">
        <v>1.722</v>
      </c>
      <c r="K322">
        <v>0.56200000000000006</v>
      </c>
      <c r="L322" s="7">
        <v>2.5</v>
      </c>
      <c r="M322">
        <v>2.94</v>
      </c>
      <c r="N322">
        <v>2.74</v>
      </c>
      <c r="O322">
        <v>3.13</v>
      </c>
      <c r="P322">
        <f t="shared" si="4"/>
        <v>2.8274999999999997</v>
      </c>
      <c r="Q322">
        <v>2.5438330961123926E-2</v>
      </c>
      <c r="R322">
        <v>3.9423567846212149E-2</v>
      </c>
      <c r="S322">
        <v>0.69975834905024403</v>
      </c>
      <c r="T322">
        <v>0.87585316090141507</v>
      </c>
      <c r="U322">
        <v>1.4042440744805951</v>
      </c>
      <c r="V322">
        <v>5.7568698347521041E-2</v>
      </c>
      <c r="W322">
        <v>472</v>
      </c>
      <c r="X322">
        <v>673</v>
      </c>
      <c r="Y322">
        <v>0.69730255025833765</v>
      </c>
      <c r="Z322">
        <v>0.15657874643842301</v>
      </c>
      <c r="AB322">
        <v>37.051624567721277</v>
      </c>
      <c r="AC322">
        <v>33.163233755671811</v>
      </c>
      <c r="AD322">
        <v>23.616431330100717</v>
      </c>
      <c r="AE322" t="s">
        <v>226</v>
      </c>
    </row>
    <row r="323" spans="1:31" x14ac:dyDescent="0.3">
      <c r="A323">
        <v>321</v>
      </c>
      <c r="B323" t="s">
        <v>217</v>
      </c>
      <c r="C323" t="s">
        <v>189</v>
      </c>
      <c r="D323">
        <v>4</v>
      </c>
      <c r="E323" s="7" t="s">
        <v>21</v>
      </c>
      <c r="F323">
        <v>1</v>
      </c>
      <c r="G323" t="s">
        <v>30</v>
      </c>
      <c r="H323" t="s">
        <v>558</v>
      </c>
      <c r="I323" t="s">
        <v>545</v>
      </c>
      <c r="J323" t="s">
        <v>225</v>
      </c>
      <c r="K323" t="s">
        <v>225</v>
      </c>
      <c r="L323" t="s">
        <v>225</v>
      </c>
      <c r="M323" t="s">
        <v>225</v>
      </c>
      <c r="N323" t="s">
        <v>225</v>
      </c>
      <c r="O323" t="s">
        <v>225</v>
      </c>
      <c r="P323" t="s">
        <v>225</v>
      </c>
      <c r="Q323">
        <v>3.5514724745537511E-2</v>
      </c>
      <c r="R323">
        <v>3.7360256021255346E-2</v>
      </c>
      <c r="S323">
        <v>0.70271724910826228</v>
      </c>
      <c r="T323">
        <v>0.81119048548073391</v>
      </c>
      <c r="U323">
        <v>1.4275901563113909</v>
      </c>
      <c r="V323">
        <v>9.0877151856212604E-2</v>
      </c>
      <c r="W323">
        <v>505</v>
      </c>
      <c r="X323">
        <v>639</v>
      </c>
      <c r="Y323">
        <v>0.786093976570167</v>
      </c>
      <c r="Z323">
        <v>0.10452553148457146</v>
      </c>
      <c r="AB323">
        <v>23.41621903345807</v>
      </c>
      <c r="AC323">
        <v>20.958840561871853</v>
      </c>
      <c r="AD323">
        <v>14.681272821343438</v>
      </c>
      <c r="AE323" t="s">
        <v>226</v>
      </c>
    </row>
    <row r="324" spans="1:31" x14ac:dyDescent="0.3">
      <c r="A324">
        <v>322</v>
      </c>
      <c r="B324" t="s">
        <v>217</v>
      </c>
      <c r="C324" t="s">
        <v>189</v>
      </c>
      <c r="D324">
        <v>4</v>
      </c>
      <c r="E324" s="7" t="s">
        <v>21</v>
      </c>
      <c r="F324">
        <v>2</v>
      </c>
      <c r="G324" t="s">
        <v>24</v>
      </c>
      <c r="H324" t="s">
        <v>559</v>
      </c>
      <c r="I324" t="s">
        <v>434</v>
      </c>
      <c r="J324">
        <v>4.9889999999999999</v>
      </c>
      <c r="K324">
        <v>1.397</v>
      </c>
      <c r="L324" s="7">
        <v>3.66</v>
      </c>
      <c r="M324">
        <v>3.33</v>
      </c>
      <c r="N324">
        <v>3.44</v>
      </c>
      <c r="O324">
        <v>3.66</v>
      </c>
      <c r="P324">
        <f t="shared" ref="P324:P387" si="5">AVERAGE(L324:O324)</f>
        <v>3.5225</v>
      </c>
      <c r="Q324">
        <v>2.6867013447358378E-2</v>
      </c>
      <c r="R324">
        <v>0.20262744783342926</v>
      </c>
      <c r="S324">
        <v>0.89210679216900324</v>
      </c>
      <c r="T324">
        <v>0.87879564627828632</v>
      </c>
      <c r="U324">
        <v>0.69330172563322667</v>
      </c>
      <c r="V324">
        <v>5.6112103324125931E-2</v>
      </c>
      <c r="W324">
        <v>458</v>
      </c>
      <c r="X324">
        <v>598</v>
      </c>
      <c r="Y324">
        <v>0.76166587575983546</v>
      </c>
      <c r="Z324">
        <v>0.11823550128094985</v>
      </c>
      <c r="AB324">
        <v>26.710698305554885</v>
      </c>
      <c r="AC324">
        <v>23.907582305537655</v>
      </c>
      <c r="AD324">
        <v>34.483661905935229</v>
      </c>
      <c r="AE324" t="s">
        <v>226</v>
      </c>
    </row>
    <row r="325" spans="1:31" x14ac:dyDescent="0.3">
      <c r="A325">
        <v>323</v>
      </c>
      <c r="B325" t="s">
        <v>217</v>
      </c>
      <c r="C325" t="s">
        <v>189</v>
      </c>
      <c r="D325">
        <v>4</v>
      </c>
      <c r="E325" s="7" t="s">
        <v>21</v>
      </c>
      <c r="F325">
        <v>3</v>
      </c>
      <c r="G325" t="s">
        <v>26</v>
      </c>
      <c r="H325" t="s">
        <v>560</v>
      </c>
      <c r="I325" t="s">
        <v>436</v>
      </c>
      <c r="J325">
        <v>1.125</v>
      </c>
      <c r="K325">
        <v>0.32</v>
      </c>
      <c r="L325" s="7">
        <v>1.88</v>
      </c>
      <c r="M325">
        <v>1.84</v>
      </c>
      <c r="N325">
        <v>2.08</v>
      </c>
      <c r="O325">
        <v>1.89</v>
      </c>
      <c r="P325">
        <f t="shared" si="5"/>
        <v>1.9224999999999999</v>
      </c>
      <c r="Q325">
        <v>3.1952619119862337E-2</v>
      </c>
      <c r="R325">
        <v>4.8979008011441311E-2</v>
      </c>
      <c r="S325">
        <v>0.67992791523245721</v>
      </c>
      <c r="T325">
        <v>0.92101791267113564</v>
      </c>
      <c r="U325">
        <v>1.3099900150365362</v>
      </c>
      <c r="V325">
        <v>3.5731923224888058E-2</v>
      </c>
      <c r="W325">
        <v>341</v>
      </c>
      <c r="X325">
        <v>526</v>
      </c>
      <c r="Y325">
        <v>0.6440422032025086</v>
      </c>
      <c r="Z325">
        <v>0.19108567298579285</v>
      </c>
      <c r="AB325">
        <v>47.777533532722302</v>
      </c>
      <c r="AC325">
        <v>42.763406578104508</v>
      </c>
      <c r="AD325">
        <v>32.644070632028303</v>
      </c>
      <c r="AE325" t="s">
        <v>226</v>
      </c>
    </row>
    <row r="326" spans="1:31" x14ac:dyDescent="0.3">
      <c r="A326">
        <v>324</v>
      </c>
      <c r="B326" t="s">
        <v>217</v>
      </c>
      <c r="C326" t="s">
        <v>189</v>
      </c>
      <c r="D326">
        <v>4</v>
      </c>
      <c r="E326" s="7" t="s">
        <v>21</v>
      </c>
      <c r="F326">
        <v>8</v>
      </c>
      <c r="G326" t="s">
        <v>29</v>
      </c>
      <c r="H326" t="s">
        <v>561</v>
      </c>
      <c r="I326" t="s">
        <v>451</v>
      </c>
      <c r="J326">
        <v>1.806</v>
      </c>
      <c r="K326">
        <v>0.67600000000000005</v>
      </c>
      <c r="L326" s="7">
        <v>3.2</v>
      </c>
      <c r="M326">
        <v>3.42</v>
      </c>
      <c r="N326">
        <v>3.46</v>
      </c>
      <c r="O326">
        <v>3.4</v>
      </c>
      <c r="P326">
        <f t="shared" si="5"/>
        <v>3.37</v>
      </c>
      <c r="Q326">
        <v>2.7506968469579632E-2</v>
      </c>
      <c r="R326">
        <v>9.8574463435228674E-2</v>
      </c>
      <c r="S326">
        <v>0.81992858436071492</v>
      </c>
      <c r="T326">
        <v>0.85063860088090026</v>
      </c>
      <c r="U326">
        <v>1.0062355782187624</v>
      </c>
      <c r="V326">
        <v>7.0254913452235238E-2</v>
      </c>
      <c r="W326">
        <v>470</v>
      </c>
      <c r="X326">
        <v>628</v>
      </c>
      <c r="Y326">
        <v>0.74424758769806698</v>
      </c>
      <c r="Z326">
        <v>0.12828256434145402</v>
      </c>
      <c r="AB326">
        <v>29.259780271376783</v>
      </c>
      <c r="AC326">
        <v>26.189145963687466</v>
      </c>
      <c r="AD326">
        <v>26.026853483005912</v>
      </c>
      <c r="AE326" t="s">
        <v>226</v>
      </c>
    </row>
    <row r="327" spans="1:31" x14ac:dyDescent="0.3">
      <c r="A327">
        <v>325</v>
      </c>
      <c r="B327" t="s">
        <v>217</v>
      </c>
      <c r="C327" t="s">
        <v>189</v>
      </c>
      <c r="D327">
        <v>4</v>
      </c>
      <c r="E327" s="7" t="s">
        <v>21</v>
      </c>
      <c r="F327">
        <v>6</v>
      </c>
      <c r="G327" t="s">
        <v>27</v>
      </c>
      <c r="H327" t="s">
        <v>562</v>
      </c>
      <c r="I327" t="s">
        <v>440</v>
      </c>
      <c r="J327">
        <v>0.61699999999999999</v>
      </c>
      <c r="K327">
        <v>0.11799999999999999</v>
      </c>
      <c r="L327" s="7">
        <v>1.56</v>
      </c>
      <c r="M327">
        <v>1.36</v>
      </c>
      <c r="N327">
        <v>2.0299999999999998</v>
      </c>
      <c r="O327">
        <v>1.67</v>
      </c>
      <c r="P327">
        <f t="shared" si="5"/>
        <v>1.6549999999999998</v>
      </c>
      <c r="Q327">
        <v>0.12196771184038882</v>
      </c>
      <c r="R327">
        <v>0.11564977988775964</v>
      </c>
      <c r="S327">
        <v>0.81133472467076651</v>
      </c>
      <c r="T327">
        <v>0.66831231758449761</v>
      </c>
      <c r="U327">
        <v>0.93685518947029534</v>
      </c>
      <c r="V327">
        <v>0.17502053437282059</v>
      </c>
      <c r="W327">
        <v>579</v>
      </c>
      <c r="X327">
        <v>627</v>
      </c>
      <c r="Y327">
        <v>0.91905544332210998</v>
      </c>
      <c r="Z327">
        <v>3.6658288393492194E-2</v>
      </c>
      <c r="AB327">
        <v>10.234378794487117</v>
      </c>
      <c r="AC327">
        <v>9.1602197820608886</v>
      </c>
      <c r="AD327">
        <v>9.7776261315691091</v>
      </c>
      <c r="AE327" t="s">
        <v>226</v>
      </c>
    </row>
    <row r="328" spans="1:31" x14ac:dyDescent="0.3">
      <c r="A328">
        <v>326</v>
      </c>
      <c r="B328" t="s">
        <v>217</v>
      </c>
      <c r="C328" t="s">
        <v>189</v>
      </c>
      <c r="D328">
        <v>4</v>
      </c>
      <c r="E328" s="7" t="s">
        <v>21</v>
      </c>
      <c r="F328">
        <v>9</v>
      </c>
      <c r="G328" t="s">
        <v>28</v>
      </c>
      <c r="H328" t="s">
        <v>563</v>
      </c>
      <c r="I328" t="s">
        <v>438</v>
      </c>
      <c r="J328">
        <v>2.7170000000000001</v>
      </c>
      <c r="K328">
        <v>0.91200000000000003</v>
      </c>
      <c r="L328" s="7">
        <v>3.74</v>
      </c>
      <c r="M328">
        <v>3.84</v>
      </c>
      <c r="N328">
        <v>5.49</v>
      </c>
      <c r="O328">
        <v>4.67</v>
      </c>
      <c r="P328">
        <f t="shared" si="5"/>
        <v>4.4350000000000005</v>
      </c>
      <c r="Q328">
        <v>3.9936330425614043E-2</v>
      </c>
      <c r="R328">
        <v>7.8670429664841002E-2</v>
      </c>
      <c r="S328">
        <v>0.7993353506363583</v>
      </c>
      <c r="T328">
        <v>0.81506009970896964</v>
      </c>
      <c r="U328">
        <v>1.1041884778903588</v>
      </c>
      <c r="V328">
        <v>8.8810366708307775E-2</v>
      </c>
      <c r="W328">
        <v>492</v>
      </c>
      <c r="X328">
        <v>623</v>
      </c>
      <c r="Y328">
        <v>0.78550760783718376</v>
      </c>
      <c r="Z328">
        <v>0.10484960435321494</v>
      </c>
      <c r="AB328">
        <v>23.491643359471759</v>
      </c>
      <c r="AC328">
        <v>21.026349630145496</v>
      </c>
      <c r="AD328">
        <v>19.042355586174956</v>
      </c>
      <c r="AE328" t="s">
        <v>226</v>
      </c>
    </row>
    <row r="329" spans="1:31" x14ac:dyDescent="0.3">
      <c r="A329">
        <v>327</v>
      </c>
      <c r="B329" t="s">
        <v>217</v>
      </c>
      <c r="C329" t="s">
        <v>189</v>
      </c>
      <c r="D329">
        <v>4</v>
      </c>
      <c r="E329" s="7" t="s">
        <v>21</v>
      </c>
      <c r="F329">
        <v>11</v>
      </c>
      <c r="G329" t="s">
        <v>23</v>
      </c>
      <c r="H329" t="s">
        <v>564</v>
      </c>
      <c r="I329" t="s">
        <v>430</v>
      </c>
      <c r="J329">
        <v>2.9889999999999999</v>
      </c>
      <c r="K329">
        <v>0.79</v>
      </c>
      <c r="L329">
        <v>2.2999999999999998</v>
      </c>
      <c r="M329">
        <v>3.81</v>
      </c>
      <c r="N329">
        <v>1.48</v>
      </c>
      <c r="O329">
        <v>2.35</v>
      </c>
      <c r="P329">
        <f t="shared" si="5"/>
        <v>2.4849999999999999</v>
      </c>
      <c r="Q329">
        <v>3.8722050108619017E-2</v>
      </c>
      <c r="R329">
        <v>0.15044705879204129</v>
      </c>
      <c r="S329">
        <v>0.80695175659364915</v>
      </c>
      <c r="T329">
        <v>0.93460224766628508</v>
      </c>
      <c r="U329">
        <v>0.82261629820553894</v>
      </c>
      <c r="V329">
        <v>2.9373178856440158E-2</v>
      </c>
      <c r="W329">
        <v>429</v>
      </c>
      <c r="X329">
        <v>651</v>
      </c>
      <c r="Y329">
        <v>0.65498159129386668</v>
      </c>
      <c r="Z329">
        <v>0.1837709059804937</v>
      </c>
      <c r="AB329">
        <v>45.391533620914174</v>
      </c>
      <c r="AC329">
        <v>40.627832877921406</v>
      </c>
      <c r="AD329">
        <v>49.388558148613456</v>
      </c>
      <c r="AE329" t="s">
        <v>226</v>
      </c>
    </row>
    <row r="330" spans="1:31" x14ac:dyDescent="0.3">
      <c r="A330">
        <v>328</v>
      </c>
      <c r="B330" t="s">
        <v>217</v>
      </c>
      <c r="C330" t="s">
        <v>189</v>
      </c>
      <c r="D330">
        <v>4</v>
      </c>
      <c r="E330" s="7" t="s">
        <v>21</v>
      </c>
      <c r="F330">
        <v>14</v>
      </c>
      <c r="G330" t="s">
        <v>22</v>
      </c>
      <c r="H330" t="s">
        <v>565</v>
      </c>
      <c r="I330" t="s">
        <v>444</v>
      </c>
      <c r="J330">
        <v>0.64500000000000002</v>
      </c>
      <c r="K330">
        <v>0.29599999999999999</v>
      </c>
      <c r="L330">
        <v>3.8</v>
      </c>
      <c r="M330">
        <v>4.3899999999999997</v>
      </c>
      <c r="N330">
        <v>4.7699999999999996</v>
      </c>
      <c r="O330">
        <v>4.28</v>
      </c>
      <c r="P330">
        <f t="shared" si="5"/>
        <v>4.3099999999999996</v>
      </c>
      <c r="Q330">
        <v>0.18358026730615226</v>
      </c>
      <c r="R330">
        <v>0.32690577734466503</v>
      </c>
      <c r="S330">
        <v>1.0526956337964508</v>
      </c>
      <c r="T330">
        <v>0.81928544809037684</v>
      </c>
      <c r="U330">
        <v>0.48557740414665213</v>
      </c>
      <c r="V330">
        <v>8.6564758884257964E-2</v>
      </c>
      <c r="W330">
        <v>372</v>
      </c>
      <c r="X330">
        <v>455</v>
      </c>
      <c r="Y330">
        <v>0.81311025387552238</v>
      </c>
      <c r="Z330">
        <v>8.9850562150985316E-2</v>
      </c>
      <c r="AB330">
        <v>20.125085272895959</v>
      </c>
      <c r="AC330">
        <v>18.013082525223627</v>
      </c>
      <c r="AD330">
        <v>37.096212408976484</v>
      </c>
      <c r="AE330" t="s">
        <v>226</v>
      </c>
    </row>
    <row r="331" spans="1:31" x14ac:dyDescent="0.3">
      <c r="A331">
        <v>329</v>
      </c>
      <c r="B331" t="s">
        <v>218</v>
      </c>
      <c r="C331" t="s">
        <v>189</v>
      </c>
      <c r="D331">
        <v>1</v>
      </c>
      <c r="E331" s="7" t="s">
        <v>21</v>
      </c>
      <c r="F331">
        <v>5</v>
      </c>
      <c r="G331" t="s">
        <v>29</v>
      </c>
      <c r="H331" t="s">
        <v>566</v>
      </c>
      <c r="I331" t="s">
        <v>451</v>
      </c>
      <c r="J331">
        <v>0.76900000000000002</v>
      </c>
      <c r="K331">
        <v>0.30399999999999999</v>
      </c>
      <c r="L331" s="7">
        <v>3.15</v>
      </c>
      <c r="M331">
        <v>2.85</v>
      </c>
      <c r="N331">
        <v>2.89</v>
      </c>
      <c r="O331">
        <v>3.32</v>
      </c>
      <c r="P331">
        <f t="shared" si="5"/>
        <v>3.0525000000000002</v>
      </c>
      <c r="Q331">
        <v>0.11095426765355533</v>
      </c>
      <c r="R331">
        <v>0.30181563131388295</v>
      </c>
      <c r="S331">
        <v>0.75862984529583188</v>
      </c>
      <c r="T331">
        <v>0.75168518616940239</v>
      </c>
      <c r="U331">
        <v>0.52025827146047066</v>
      </c>
      <c r="V331">
        <v>0.12396400852506187</v>
      </c>
      <c r="W331">
        <v>430</v>
      </c>
      <c r="X331">
        <v>535</v>
      </c>
      <c r="Y331">
        <v>0.79789993148295268</v>
      </c>
      <c r="Z331">
        <v>9.805157222053279E-2</v>
      </c>
      <c r="AB331">
        <v>21.934331043243066</v>
      </c>
      <c r="AC331">
        <v>19.632465227498574</v>
      </c>
      <c r="AD331">
        <v>37.735998261759981</v>
      </c>
      <c r="AE331" t="s">
        <v>227</v>
      </c>
    </row>
    <row r="332" spans="1:31" x14ac:dyDescent="0.3">
      <c r="A332">
        <v>330</v>
      </c>
      <c r="B332" t="s">
        <v>218</v>
      </c>
      <c r="C332" t="s">
        <v>189</v>
      </c>
      <c r="D332">
        <v>1</v>
      </c>
      <c r="E332" s="7" t="s">
        <v>21</v>
      </c>
      <c r="F332">
        <v>10</v>
      </c>
      <c r="G332" t="s">
        <v>22</v>
      </c>
      <c r="H332" t="s">
        <v>567</v>
      </c>
      <c r="I332" t="s">
        <v>444</v>
      </c>
      <c r="J332">
        <v>1.4750000000000001</v>
      </c>
      <c r="K332">
        <v>0.53700000000000003</v>
      </c>
      <c r="L332" s="7">
        <v>6.5</v>
      </c>
      <c r="M332">
        <v>7.49</v>
      </c>
      <c r="N332">
        <v>5.19</v>
      </c>
      <c r="O332">
        <v>8.3000000000000007</v>
      </c>
      <c r="P332">
        <f t="shared" si="5"/>
        <v>6.87</v>
      </c>
      <c r="Q332">
        <v>2.8212061639168031E-2</v>
      </c>
      <c r="R332">
        <v>9.6016376608995715E-2</v>
      </c>
      <c r="S332">
        <v>0.83401412124322094</v>
      </c>
      <c r="T332">
        <v>0.75905827248257607</v>
      </c>
      <c r="U332">
        <v>1.0176546871234722</v>
      </c>
      <c r="V332">
        <v>0.11972488227818695</v>
      </c>
      <c r="W332">
        <v>471</v>
      </c>
      <c r="X332">
        <v>619</v>
      </c>
      <c r="Y332">
        <v>0.75549271935463957</v>
      </c>
      <c r="Z332">
        <v>0.12176971657888094</v>
      </c>
      <c r="AB332">
        <v>27.594380086272363</v>
      </c>
      <c r="AC332">
        <v>24.698524963442953</v>
      </c>
      <c r="AD332">
        <v>24.270044914013429</v>
      </c>
      <c r="AE332" t="s">
        <v>227</v>
      </c>
    </row>
    <row r="333" spans="1:31" x14ac:dyDescent="0.3">
      <c r="A333">
        <v>331</v>
      </c>
      <c r="B333" t="s">
        <v>218</v>
      </c>
      <c r="C333" t="s">
        <v>189</v>
      </c>
      <c r="D333">
        <v>1</v>
      </c>
      <c r="E333" s="7" t="s">
        <v>21</v>
      </c>
      <c r="F333">
        <v>1</v>
      </c>
      <c r="G333" t="s">
        <v>23</v>
      </c>
      <c r="H333" t="s">
        <v>568</v>
      </c>
      <c r="I333" t="s">
        <v>430</v>
      </c>
      <c r="J333">
        <v>1.657</v>
      </c>
      <c r="K333">
        <v>0.54800000000000004</v>
      </c>
      <c r="L333" s="7">
        <v>1.8</v>
      </c>
      <c r="M333">
        <v>2.13</v>
      </c>
      <c r="N333">
        <v>1.94</v>
      </c>
      <c r="O333">
        <v>2.13</v>
      </c>
      <c r="P333">
        <f t="shared" si="5"/>
        <v>1.9999999999999998</v>
      </c>
      <c r="Q333">
        <v>2.7853347190271823E-2</v>
      </c>
      <c r="R333">
        <v>5.3469923831506831E-2</v>
      </c>
      <c r="S333">
        <v>0.69257294429708227</v>
      </c>
      <c r="T333">
        <v>0.86503858421935487</v>
      </c>
      <c r="U333">
        <v>1.2718904345564732</v>
      </c>
      <c r="V333">
        <v>6.2964520812832311E-2</v>
      </c>
      <c r="W333">
        <v>423</v>
      </c>
      <c r="X333">
        <v>660</v>
      </c>
      <c r="Y333">
        <v>0.63597873865956822</v>
      </c>
      <c r="Z333">
        <v>0.19655740296348995</v>
      </c>
      <c r="AB333">
        <v>49.601864402840739</v>
      </c>
      <c r="AC333">
        <v>44.396260730793273</v>
      </c>
      <c r="AD333">
        <v>34.905727352431029</v>
      </c>
      <c r="AE333" t="s">
        <v>227</v>
      </c>
    </row>
    <row r="334" spans="1:31" x14ac:dyDescent="0.3">
      <c r="A334">
        <v>332</v>
      </c>
      <c r="B334" t="s">
        <v>218</v>
      </c>
      <c r="C334" t="s">
        <v>189</v>
      </c>
      <c r="D334">
        <v>1</v>
      </c>
      <c r="E334" s="7" t="s">
        <v>21</v>
      </c>
      <c r="F334">
        <v>9</v>
      </c>
      <c r="G334" t="s">
        <v>28</v>
      </c>
      <c r="H334" t="s">
        <v>569</v>
      </c>
      <c r="I334" t="s">
        <v>438</v>
      </c>
      <c r="J334">
        <v>2.65</v>
      </c>
      <c r="K334">
        <v>0.93799999999999994</v>
      </c>
      <c r="L334" s="7">
        <v>3.45</v>
      </c>
      <c r="M334">
        <v>4.6500000000000004</v>
      </c>
      <c r="N334">
        <v>4.4800000000000004</v>
      </c>
      <c r="O334">
        <v>3.84</v>
      </c>
      <c r="P334">
        <f t="shared" si="5"/>
        <v>4.1050000000000004</v>
      </c>
      <c r="Q334">
        <v>3.6686272894988214E-2</v>
      </c>
      <c r="R334">
        <v>5.8884332982293772E-2</v>
      </c>
      <c r="S334">
        <v>0.67538141731098456</v>
      </c>
      <c r="T334">
        <v>0.81151485041296156</v>
      </c>
      <c r="U334">
        <v>1.2300002400927172</v>
      </c>
      <c r="V334">
        <v>9.0703528341271725E-2</v>
      </c>
      <c r="W334">
        <v>469</v>
      </c>
      <c r="X334">
        <v>597</v>
      </c>
      <c r="Y334">
        <v>0.7800393946926385</v>
      </c>
      <c r="Z334">
        <v>0.10788346337927268</v>
      </c>
      <c r="AB334">
        <v>24.203493106175362</v>
      </c>
      <c r="AC334">
        <v>21.663495432966258</v>
      </c>
      <c r="AD334">
        <v>17.612594475049264</v>
      </c>
      <c r="AE334" t="s">
        <v>227</v>
      </c>
    </row>
    <row r="335" spans="1:31" x14ac:dyDescent="0.3">
      <c r="A335">
        <v>333</v>
      </c>
      <c r="B335" t="s">
        <v>218</v>
      </c>
      <c r="C335" t="s">
        <v>189</v>
      </c>
      <c r="D335">
        <v>1</v>
      </c>
      <c r="E335" s="7" t="s">
        <v>21</v>
      </c>
      <c r="F335">
        <v>7</v>
      </c>
      <c r="G335" t="s">
        <v>24</v>
      </c>
      <c r="H335" t="s">
        <v>570</v>
      </c>
      <c r="I335" t="s">
        <v>434</v>
      </c>
      <c r="J335">
        <v>0.96799999999999997</v>
      </c>
      <c r="K335">
        <v>0.41599999999999998</v>
      </c>
      <c r="L335" s="7">
        <v>4.29</v>
      </c>
      <c r="M335">
        <v>3.87</v>
      </c>
      <c r="N335">
        <v>3.38</v>
      </c>
      <c r="O335">
        <v>4.8499999999999996</v>
      </c>
      <c r="P335">
        <f t="shared" si="5"/>
        <v>4.0975000000000001</v>
      </c>
      <c r="Q335">
        <v>4.6952477882403809E-2</v>
      </c>
      <c r="R335">
        <v>0.10068206978702039</v>
      </c>
      <c r="S335">
        <v>0.71366770042200589</v>
      </c>
      <c r="T335">
        <v>0.86253596873220051</v>
      </c>
      <c r="U335">
        <v>0.99704786495678976</v>
      </c>
      <c r="V335">
        <v>6.4222785302567656E-2</v>
      </c>
      <c r="W335">
        <v>463</v>
      </c>
      <c r="X335">
        <v>655</v>
      </c>
      <c r="Y335">
        <v>0.7017284637060377</v>
      </c>
      <c r="Z335">
        <v>0.15383090713976746</v>
      </c>
      <c r="AB335">
        <v>36.255314489522263</v>
      </c>
      <c r="AC335">
        <v>32.450498245440571</v>
      </c>
      <c r="AD335">
        <v>32.546580145223935</v>
      </c>
      <c r="AE335" t="s">
        <v>227</v>
      </c>
    </row>
    <row r="336" spans="1:31" x14ac:dyDescent="0.3">
      <c r="A336">
        <v>334</v>
      </c>
      <c r="B336" t="s">
        <v>218</v>
      </c>
      <c r="C336" t="s">
        <v>189</v>
      </c>
      <c r="D336">
        <v>1</v>
      </c>
      <c r="E336" s="7" t="s">
        <v>21</v>
      </c>
      <c r="F336">
        <v>12</v>
      </c>
      <c r="G336" t="s">
        <v>26</v>
      </c>
      <c r="H336" t="s">
        <v>571</v>
      </c>
      <c r="I336" t="s">
        <v>436</v>
      </c>
      <c r="J336">
        <v>3.1989999999999998</v>
      </c>
      <c r="K336">
        <v>0.70099999999999996</v>
      </c>
      <c r="L336" s="7">
        <v>1.68</v>
      </c>
      <c r="M336">
        <v>1.66</v>
      </c>
      <c r="N336">
        <v>1.36</v>
      </c>
      <c r="O336">
        <v>1.9</v>
      </c>
      <c r="P336">
        <f t="shared" si="5"/>
        <v>1.65</v>
      </c>
      <c r="Q336">
        <v>2.4300159926153347E-2</v>
      </c>
      <c r="R336">
        <v>5.7578701112132334E-2</v>
      </c>
      <c r="S336">
        <v>0.7072844610877066</v>
      </c>
      <c r="T336">
        <v>0.95745021784372386</v>
      </c>
      <c r="U336">
        <v>1.2397381363699915</v>
      </c>
      <c r="V336">
        <v>1.8883797701712439E-2</v>
      </c>
      <c r="W336">
        <v>372</v>
      </c>
      <c r="X336">
        <v>577</v>
      </c>
      <c r="Y336">
        <v>0.63947733507918703</v>
      </c>
      <c r="Z336">
        <v>0.19417484356136538</v>
      </c>
      <c r="AB336">
        <v>48.803338258690971</v>
      </c>
      <c r="AC336">
        <v>43.681545816405077</v>
      </c>
      <c r="AD336">
        <v>35.234493910388679</v>
      </c>
      <c r="AE336" t="s">
        <v>227</v>
      </c>
    </row>
    <row r="337" spans="1:31" x14ac:dyDescent="0.3">
      <c r="A337">
        <v>335</v>
      </c>
      <c r="B337" t="s">
        <v>218</v>
      </c>
      <c r="C337" t="s">
        <v>189</v>
      </c>
      <c r="D337">
        <v>1</v>
      </c>
      <c r="E337" s="7" t="s">
        <v>21</v>
      </c>
      <c r="F337">
        <v>4</v>
      </c>
      <c r="G337" t="s">
        <v>27</v>
      </c>
      <c r="H337" t="s">
        <v>572</v>
      </c>
      <c r="I337" t="s">
        <v>440</v>
      </c>
      <c r="J337">
        <v>2</v>
      </c>
      <c r="K337">
        <v>0.435</v>
      </c>
      <c r="L337" s="7">
        <v>1.54</v>
      </c>
      <c r="M337">
        <v>1.5</v>
      </c>
      <c r="N337">
        <v>1.59</v>
      </c>
      <c r="O337">
        <v>1.37</v>
      </c>
      <c r="P337">
        <f t="shared" si="5"/>
        <v>1.5</v>
      </c>
      <c r="Q337">
        <v>3.1529231105178447E-2</v>
      </c>
      <c r="R337">
        <v>8.4589985320743605E-2</v>
      </c>
      <c r="S337">
        <v>0.77360869016041434</v>
      </c>
      <c r="T337">
        <v>0.83523950576328332</v>
      </c>
      <c r="U337">
        <v>1.0726810504052877</v>
      </c>
      <c r="V337">
        <v>7.8188972280946623E-2</v>
      </c>
      <c r="W337">
        <v>542</v>
      </c>
      <c r="X337">
        <v>722</v>
      </c>
      <c r="Y337">
        <v>0.74559744462657085</v>
      </c>
      <c r="Z337">
        <v>0.12749558910160891</v>
      </c>
      <c r="AB337">
        <v>29.055998150945577</v>
      </c>
      <c r="AC337">
        <v>26.006750327154769</v>
      </c>
      <c r="AD337">
        <v>24.244625480545892</v>
      </c>
      <c r="AE337" t="s">
        <v>227</v>
      </c>
    </row>
    <row r="338" spans="1:31" x14ac:dyDescent="0.3">
      <c r="A338">
        <v>336</v>
      </c>
      <c r="B338" t="s">
        <v>218</v>
      </c>
      <c r="C338" t="s">
        <v>189</v>
      </c>
      <c r="D338">
        <v>2</v>
      </c>
      <c r="E338" s="7" t="s">
        <v>21</v>
      </c>
      <c r="F338">
        <v>16</v>
      </c>
      <c r="G338" t="s">
        <v>24</v>
      </c>
      <c r="H338" t="s">
        <v>573</v>
      </c>
      <c r="I338" t="s">
        <v>434</v>
      </c>
      <c r="J338">
        <v>1.319</v>
      </c>
      <c r="K338">
        <v>0.62</v>
      </c>
      <c r="L338" s="7">
        <v>4.5999999999999996</v>
      </c>
      <c r="M338">
        <v>4.0999999999999996</v>
      </c>
      <c r="N338">
        <v>3.43</v>
      </c>
      <c r="O338">
        <v>4.8600000000000003</v>
      </c>
      <c r="P338">
        <f t="shared" si="5"/>
        <v>4.2474999999999996</v>
      </c>
      <c r="Q338">
        <v>4.7845814545243795E-2</v>
      </c>
      <c r="R338">
        <v>6.5372865960374366E-2</v>
      </c>
      <c r="S338">
        <v>0.80377139259609032</v>
      </c>
      <c r="T338">
        <v>0.71502668039257233</v>
      </c>
      <c r="U338">
        <v>1.1846024750540876</v>
      </c>
      <c r="V338">
        <v>0.14567775270089703</v>
      </c>
      <c r="W338">
        <v>505</v>
      </c>
      <c r="X338">
        <v>614</v>
      </c>
      <c r="Y338">
        <v>0.81687090224338732</v>
      </c>
      <c r="Z338">
        <v>8.7846573667636027E-2</v>
      </c>
      <c r="AB338">
        <v>19.694529175443527</v>
      </c>
      <c r="AC338">
        <v>17.627708606237565</v>
      </c>
      <c r="AD338">
        <v>14.880695404112426</v>
      </c>
      <c r="AE338" t="s">
        <v>227</v>
      </c>
    </row>
    <row r="339" spans="1:31" x14ac:dyDescent="0.3">
      <c r="A339">
        <v>337</v>
      </c>
      <c r="B339" t="s">
        <v>218</v>
      </c>
      <c r="C339" t="s">
        <v>189</v>
      </c>
      <c r="D339">
        <v>2</v>
      </c>
      <c r="E339" s="7" t="s">
        <v>21</v>
      </c>
      <c r="F339">
        <v>14</v>
      </c>
      <c r="G339" t="s">
        <v>27</v>
      </c>
      <c r="H339" t="s">
        <v>574</v>
      </c>
      <c r="I339" t="s">
        <v>440</v>
      </c>
      <c r="J339">
        <v>1.9490000000000001</v>
      </c>
      <c r="K339">
        <v>0.64100000000000001</v>
      </c>
      <c r="L339" t="s">
        <v>225</v>
      </c>
      <c r="M339" t="s">
        <v>225</v>
      </c>
      <c r="N339" t="s">
        <v>225</v>
      </c>
      <c r="O339" t="s">
        <v>225</v>
      </c>
      <c r="P339" t="s">
        <v>225</v>
      </c>
      <c r="Q339">
        <v>2.4793206649292691E-2</v>
      </c>
      <c r="R339">
        <v>3.7018635235562702E-2</v>
      </c>
      <c r="S339">
        <v>0.66282658067647937</v>
      </c>
      <c r="T339">
        <v>0.8363239698120507</v>
      </c>
      <c r="U339">
        <v>1.4315795964040163</v>
      </c>
      <c r="V339">
        <v>7.7625455758645379E-2</v>
      </c>
      <c r="W339">
        <v>423</v>
      </c>
      <c r="X339">
        <v>597</v>
      </c>
      <c r="Y339">
        <v>0.70320467915546214</v>
      </c>
      <c r="Z339">
        <v>0.15291824810971652</v>
      </c>
      <c r="AB339">
        <v>35.992717078734444</v>
      </c>
      <c r="AC339">
        <v>32.215460963592612</v>
      </c>
      <c r="AD339">
        <v>22.503436794233867</v>
      </c>
      <c r="AE339" t="s">
        <v>227</v>
      </c>
    </row>
    <row r="340" spans="1:31" x14ac:dyDescent="0.3">
      <c r="A340">
        <v>338</v>
      </c>
      <c r="B340" t="s">
        <v>218</v>
      </c>
      <c r="C340" t="s">
        <v>189</v>
      </c>
      <c r="D340">
        <v>2</v>
      </c>
      <c r="E340" s="7" t="s">
        <v>21</v>
      </c>
      <c r="F340">
        <v>9</v>
      </c>
      <c r="G340" t="s">
        <v>192</v>
      </c>
      <c r="H340" t="s">
        <v>575</v>
      </c>
      <c r="I340" t="s">
        <v>442</v>
      </c>
      <c r="J340">
        <v>5.3140000000000001</v>
      </c>
      <c r="K340">
        <v>1.3759999999999999</v>
      </c>
      <c r="L340" s="7">
        <v>1.69</v>
      </c>
      <c r="M340">
        <v>1.61</v>
      </c>
      <c r="N340">
        <v>1.67</v>
      </c>
      <c r="O340">
        <v>1.59</v>
      </c>
      <c r="P340">
        <f t="shared" si="5"/>
        <v>1.64</v>
      </c>
      <c r="Q340">
        <v>2.168403727487812E-2</v>
      </c>
      <c r="R340">
        <v>5.8054139780441709E-2</v>
      </c>
      <c r="S340">
        <v>0.7730055680679242</v>
      </c>
      <c r="T340">
        <v>0.89849449375381307</v>
      </c>
      <c r="U340">
        <v>1.2361668057325048</v>
      </c>
      <c r="V340">
        <v>4.648458003487644E-2</v>
      </c>
      <c r="W340">
        <v>365</v>
      </c>
      <c r="X340">
        <v>539</v>
      </c>
      <c r="Y340">
        <v>0.67169213823488916</v>
      </c>
      <c r="Z340">
        <v>0.17282973483542505</v>
      </c>
      <c r="AB340">
        <v>41.935436820675214</v>
      </c>
      <c r="AC340">
        <v>37.534472134884574</v>
      </c>
      <c r="AD340">
        <v>30.363598149396264</v>
      </c>
      <c r="AE340" t="s">
        <v>227</v>
      </c>
    </row>
    <row r="341" spans="1:31" x14ac:dyDescent="0.3">
      <c r="A341">
        <v>339</v>
      </c>
      <c r="B341" t="s">
        <v>218</v>
      </c>
      <c r="C341" t="s">
        <v>189</v>
      </c>
      <c r="D341">
        <v>2</v>
      </c>
      <c r="E341" s="7" t="s">
        <v>21</v>
      </c>
      <c r="F341">
        <v>2</v>
      </c>
      <c r="G341" t="s">
        <v>26</v>
      </c>
      <c r="H341" t="s">
        <v>576</v>
      </c>
      <c r="I341" t="s">
        <v>436</v>
      </c>
      <c r="J341">
        <v>9.25</v>
      </c>
      <c r="K341">
        <v>2.4630000000000001</v>
      </c>
      <c r="L341" s="7">
        <v>2.57</v>
      </c>
      <c r="M341">
        <v>2.96</v>
      </c>
      <c r="N341">
        <v>2</v>
      </c>
      <c r="O341">
        <v>2.75</v>
      </c>
      <c r="P341">
        <f t="shared" si="5"/>
        <v>2.57</v>
      </c>
      <c r="Q341">
        <v>2.9049945439129258E-2</v>
      </c>
      <c r="R341">
        <v>4.4073940839376095E-2</v>
      </c>
      <c r="S341">
        <v>0.63539624418559959</v>
      </c>
      <c r="T341">
        <v>0.88799984052200931</v>
      </c>
      <c r="U341">
        <v>1.3558181156285598</v>
      </c>
      <c r="V341">
        <v>5.1587112217364672E-2</v>
      </c>
      <c r="W341">
        <v>365</v>
      </c>
      <c r="X341">
        <v>580</v>
      </c>
      <c r="Y341">
        <v>0.62412844623552743</v>
      </c>
      <c r="Z341">
        <v>0.20472602289647207</v>
      </c>
      <c r="AB341">
        <v>52.388288731910663</v>
      </c>
      <c r="AC341">
        <v>46.890227611520302</v>
      </c>
      <c r="AD341">
        <v>34.584452789806477</v>
      </c>
      <c r="AE341" t="s">
        <v>227</v>
      </c>
    </row>
    <row r="342" spans="1:31" x14ac:dyDescent="0.3">
      <c r="A342">
        <v>340</v>
      </c>
      <c r="B342" t="s">
        <v>218</v>
      </c>
      <c r="C342" t="s">
        <v>189</v>
      </c>
      <c r="D342">
        <v>2</v>
      </c>
      <c r="E342" s="7" t="s">
        <v>21</v>
      </c>
      <c r="F342">
        <v>13</v>
      </c>
      <c r="G342" t="s">
        <v>28</v>
      </c>
      <c r="H342" t="s">
        <v>577</v>
      </c>
      <c r="I342" t="s">
        <v>438</v>
      </c>
      <c r="J342">
        <v>1.4770000000000001</v>
      </c>
      <c r="K342">
        <v>0.438</v>
      </c>
      <c r="L342" s="7">
        <v>4.32</v>
      </c>
      <c r="M342">
        <v>4.43</v>
      </c>
      <c r="N342">
        <v>4.2699999999999996</v>
      </c>
      <c r="O342">
        <v>4.0199999999999996</v>
      </c>
      <c r="P342">
        <f t="shared" si="5"/>
        <v>4.26</v>
      </c>
      <c r="Q342">
        <v>2.8129377673890874E-2</v>
      </c>
      <c r="R342">
        <v>0.39786352462319696</v>
      </c>
      <c r="S342">
        <v>0.97935642475872375</v>
      </c>
      <c r="T342">
        <v>0.82241076579655714</v>
      </c>
      <c r="U342">
        <v>0.40026587432681532</v>
      </c>
      <c r="V342">
        <v>8.4911213164661159E-2</v>
      </c>
      <c r="W342">
        <v>559</v>
      </c>
      <c r="X342">
        <v>666</v>
      </c>
      <c r="Y342">
        <v>0.83383374260567245</v>
      </c>
      <c r="Z342">
        <v>7.892053433452409E-2</v>
      </c>
      <c r="AB342">
        <v>17.831868443324591</v>
      </c>
      <c r="AC342">
        <v>15.96051104838266</v>
      </c>
      <c r="AD342">
        <v>39.874773424603703</v>
      </c>
      <c r="AE342" t="s">
        <v>227</v>
      </c>
    </row>
    <row r="343" spans="1:31" x14ac:dyDescent="0.3">
      <c r="A343">
        <v>341</v>
      </c>
      <c r="B343" t="s">
        <v>218</v>
      </c>
      <c r="C343" t="s">
        <v>189</v>
      </c>
      <c r="D343">
        <v>2</v>
      </c>
      <c r="E343" s="7" t="s">
        <v>21</v>
      </c>
      <c r="F343">
        <v>6</v>
      </c>
      <c r="G343" t="s">
        <v>29</v>
      </c>
      <c r="H343" t="s">
        <v>578</v>
      </c>
      <c r="I343" t="s">
        <v>451</v>
      </c>
      <c r="J343">
        <v>0.46700000000000003</v>
      </c>
      <c r="K343">
        <v>0.156</v>
      </c>
      <c r="L343" s="7">
        <v>4.6100000000000003</v>
      </c>
      <c r="M343">
        <v>2.5099999999999998</v>
      </c>
      <c r="N343">
        <v>2.85</v>
      </c>
      <c r="O343">
        <v>4.6100000000000003</v>
      </c>
      <c r="P343">
        <f t="shared" si="5"/>
        <v>3.6450000000000005</v>
      </c>
      <c r="Q343">
        <v>3.3480676234261091E-2</v>
      </c>
      <c r="R343">
        <v>5.4676409887036162E-2</v>
      </c>
      <c r="S343">
        <v>0.75344924158533133</v>
      </c>
      <c r="T343">
        <v>0.79585258838455608</v>
      </c>
      <c r="U343">
        <v>1.2622000094194452</v>
      </c>
      <c r="V343">
        <v>9.9167366910370439E-2</v>
      </c>
      <c r="W343">
        <v>422</v>
      </c>
      <c r="X343">
        <v>534</v>
      </c>
      <c r="Y343">
        <v>0.78445493079639428</v>
      </c>
      <c r="Z343">
        <v>0.10543200283382016</v>
      </c>
      <c r="AB343">
        <v>23.627488206021162</v>
      </c>
      <c r="AC343">
        <v>21.147938492092777</v>
      </c>
      <c r="AD343">
        <v>16.754823589186845</v>
      </c>
      <c r="AE343" t="s">
        <v>227</v>
      </c>
    </row>
    <row r="344" spans="1:31" x14ac:dyDescent="0.3">
      <c r="A344">
        <v>342</v>
      </c>
      <c r="B344" t="s">
        <v>218</v>
      </c>
      <c r="C344" t="s">
        <v>189</v>
      </c>
      <c r="D344">
        <v>2</v>
      </c>
      <c r="E344" s="7" t="s">
        <v>21</v>
      </c>
      <c r="F344">
        <v>11</v>
      </c>
      <c r="G344" t="s">
        <v>22</v>
      </c>
      <c r="H344" t="s">
        <v>579</v>
      </c>
      <c r="I344" t="s">
        <v>444</v>
      </c>
      <c r="J344" t="s">
        <v>225</v>
      </c>
      <c r="K344" t="s">
        <v>225</v>
      </c>
      <c r="L344" t="s">
        <v>225</v>
      </c>
      <c r="M344" t="s">
        <v>225</v>
      </c>
      <c r="N344" t="s">
        <v>225</v>
      </c>
      <c r="O344" t="s">
        <v>225</v>
      </c>
      <c r="P344" t="s">
        <v>225</v>
      </c>
      <c r="Q344">
        <v>5.9737962477823335E-2</v>
      </c>
      <c r="R344">
        <v>8.7167359060403377E-2</v>
      </c>
      <c r="S344">
        <v>0.87123443123986166</v>
      </c>
      <c r="T344">
        <v>0.71884096757179639</v>
      </c>
      <c r="U344">
        <v>1.0596461117849942</v>
      </c>
      <c r="V344">
        <v>0.14336717991675671</v>
      </c>
      <c r="W344">
        <v>325</v>
      </c>
      <c r="X344">
        <v>476</v>
      </c>
      <c r="Y344">
        <v>0.67694725028058367</v>
      </c>
      <c r="Z344">
        <v>0.16944517149891206</v>
      </c>
      <c r="AB344">
        <v>40.893702272810877</v>
      </c>
      <c r="AC344">
        <v>36.60207231527901</v>
      </c>
      <c r="AD344">
        <v>34.541788912547524</v>
      </c>
      <c r="AE344" t="s">
        <v>227</v>
      </c>
    </row>
    <row r="345" spans="1:31" x14ac:dyDescent="0.3">
      <c r="A345">
        <v>343</v>
      </c>
      <c r="B345" t="s">
        <v>218</v>
      </c>
      <c r="C345" t="s">
        <v>189</v>
      </c>
      <c r="D345">
        <v>2</v>
      </c>
      <c r="E345" s="7" t="s">
        <v>21</v>
      </c>
      <c r="F345">
        <v>12</v>
      </c>
      <c r="G345" t="s">
        <v>25</v>
      </c>
      <c r="H345" t="s">
        <v>580</v>
      </c>
      <c r="I345" t="s">
        <v>432</v>
      </c>
      <c r="J345">
        <v>0.56899999999999995</v>
      </c>
      <c r="K345">
        <v>0.105</v>
      </c>
      <c r="L345" s="7">
        <v>1.04</v>
      </c>
      <c r="M345">
        <v>0.3</v>
      </c>
      <c r="N345">
        <v>1.01</v>
      </c>
      <c r="O345">
        <v>1.01</v>
      </c>
      <c r="P345">
        <f t="shared" si="5"/>
        <v>0.84000000000000008</v>
      </c>
      <c r="Q345">
        <v>6.5390901587274411E-2</v>
      </c>
      <c r="R345">
        <v>0.13360563506357143</v>
      </c>
      <c r="S345">
        <v>0.82449160035366942</v>
      </c>
      <c r="T345">
        <v>0.68025959935138403</v>
      </c>
      <c r="U345">
        <v>0.87417522430505168</v>
      </c>
      <c r="V345">
        <v>0.16732532104262418</v>
      </c>
      <c r="W345">
        <v>574</v>
      </c>
      <c r="X345">
        <v>689</v>
      </c>
      <c r="Y345">
        <v>0.82766293425208159</v>
      </c>
      <c r="Z345">
        <v>8.2146493647635474E-2</v>
      </c>
      <c r="AB345">
        <v>18.49466834261144</v>
      </c>
      <c r="AC345">
        <v>16.553758851700252</v>
      </c>
      <c r="AD345">
        <v>18.936431039738164</v>
      </c>
      <c r="AE345" t="s">
        <v>227</v>
      </c>
    </row>
    <row r="346" spans="1:31" x14ac:dyDescent="0.3">
      <c r="A346">
        <v>344</v>
      </c>
      <c r="B346" t="s">
        <v>218</v>
      </c>
      <c r="C346" t="s">
        <v>189</v>
      </c>
      <c r="D346">
        <v>3</v>
      </c>
      <c r="E346" s="7" t="s">
        <v>21</v>
      </c>
      <c r="F346">
        <v>3</v>
      </c>
      <c r="G346" t="s">
        <v>29</v>
      </c>
      <c r="H346" t="s">
        <v>581</v>
      </c>
      <c r="I346" t="s">
        <v>451</v>
      </c>
      <c r="J346">
        <v>2.198</v>
      </c>
      <c r="K346">
        <v>0.67200000000000004</v>
      </c>
      <c r="L346" s="7">
        <v>4.5199999999999996</v>
      </c>
      <c r="M346">
        <v>5.25</v>
      </c>
      <c r="N346">
        <v>4.1100000000000003</v>
      </c>
      <c r="O346">
        <v>4.0599999999999996</v>
      </c>
      <c r="P346">
        <f t="shared" si="5"/>
        <v>4.4849999999999994</v>
      </c>
      <c r="Q346">
        <v>3.4984880528843833E-2</v>
      </c>
      <c r="R346">
        <v>5.4101345368969607E-2</v>
      </c>
      <c r="S346">
        <v>0.68827124899088921</v>
      </c>
      <c r="T346">
        <v>0.79349383339818091</v>
      </c>
      <c r="U346">
        <v>1.2667919349109042</v>
      </c>
      <c r="V346">
        <v>0.10045644399615071</v>
      </c>
      <c r="W346">
        <v>458</v>
      </c>
      <c r="X346">
        <v>591</v>
      </c>
      <c r="Y346">
        <v>0.76941163042857963</v>
      </c>
      <c r="Z346">
        <v>0.11384125318285758</v>
      </c>
      <c r="AB346">
        <v>25.631651825085676</v>
      </c>
      <c r="AC346">
        <v>22.941776886959115</v>
      </c>
      <c r="AD346">
        <v>18.110138101386518</v>
      </c>
      <c r="AE346" t="s">
        <v>227</v>
      </c>
    </row>
    <row r="347" spans="1:31" x14ac:dyDescent="0.3">
      <c r="A347">
        <v>345</v>
      </c>
      <c r="B347" t="s">
        <v>218</v>
      </c>
      <c r="C347" t="s">
        <v>189</v>
      </c>
      <c r="D347">
        <v>3</v>
      </c>
      <c r="E347" s="7" t="s">
        <v>21</v>
      </c>
      <c r="F347">
        <v>2</v>
      </c>
      <c r="G347" t="s">
        <v>24</v>
      </c>
      <c r="H347" t="s">
        <v>582</v>
      </c>
      <c r="I347" t="s">
        <v>434</v>
      </c>
      <c r="J347">
        <v>1.07</v>
      </c>
      <c r="K347">
        <v>0.51200000000000001</v>
      </c>
      <c r="L347" s="7">
        <v>4.5</v>
      </c>
      <c r="M347">
        <v>4.8899999999999997</v>
      </c>
      <c r="N347">
        <v>5</v>
      </c>
      <c r="O347">
        <v>4.74</v>
      </c>
      <c r="P347">
        <f t="shared" si="5"/>
        <v>4.7825000000000006</v>
      </c>
      <c r="Q347">
        <v>3.0832617247369739E-2</v>
      </c>
      <c r="R347">
        <v>3.4527040835720064E-2</v>
      </c>
      <c r="S347">
        <v>0.62488978238634363</v>
      </c>
      <c r="T347">
        <v>0.84957542621659554</v>
      </c>
      <c r="U347">
        <v>1.4618406415691247</v>
      </c>
      <c r="V347">
        <v>7.0798057953845431E-2</v>
      </c>
      <c r="W347">
        <v>435</v>
      </c>
      <c r="X347">
        <v>617</v>
      </c>
      <c r="Y347">
        <v>0.69976642325127181</v>
      </c>
      <c r="Z347">
        <v>0.15504690001620836</v>
      </c>
      <c r="AB347">
        <v>36.606651228139675</v>
      </c>
      <c r="AC347">
        <v>32.764961427742243</v>
      </c>
      <c r="AD347">
        <v>22.413497405963941</v>
      </c>
      <c r="AE347" t="s">
        <v>227</v>
      </c>
    </row>
    <row r="348" spans="1:31" x14ac:dyDescent="0.3">
      <c r="A348">
        <v>346</v>
      </c>
      <c r="B348" t="s">
        <v>218</v>
      </c>
      <c r="C348" t="s">
        <v>189</v>
      </c>
      <c r="D348">
        <v>3</v>
      </c>
      <c r="E348" s="7" t="s">
        <v>21</v>
      </c>
      <c r="F348">
        <v>4</v>
      </c>
      <c r="G348" t="s">
        <v>22</v>
      </c>
      <c r="H348" t="s">
        <v>583</v>
      </c>
      <c r="I348" t="s">
        <v>444</v>
      </c>
      <c r="J348">
        <v>1.726</v>
      </c>
      <c r="K348">
        <v>0.68799999999999994</v>
      </c>
      <c r="L348" s="7">
        <v>4.3899999999999997</v>
      </c>
      <c r="M348">
        <v>5.82</v>
      </c>
      <c r="N348">
        <v>4.9800000000000004</v>
      </c>
      <c r="O348">
        <v>4.37</v>
      </c>
      <c r="P348">
        <f t="shared" si="5"/>
        <v>4.8900000000000006</v>
      </c>
      <c r="Q348">
        <v>4.0412222485885455E-2</v>
      </c>
      <c r="R348">
        <v>4.3997423580974408E-2</v>
      </c>
      <c r="S348">
        <v>0.78745389174403191</v>
      </c>
      <c r="T348">
        <v>0.7545574699089268</v>
      </c>
      <c r="U348">
        <v>1.3565727543621413</v>
      </c>
      <c r="V348">
        <v>0.12230767714244281</v>
      </c>
      <c r="W348">
        <v>506</v>
      </c>
      <c r="X348">
        <v>628</v>
      </c>
      <c r="Y348">
        <v>0.80021909686981452</v>
      </c>
      <c r="Z348">
        <v>9.679108859033958E-2</v>
      </c>
      <c r="AB348">
        <v>21.651312123841738</v>
      </c>
      <c r="AC348">
        <v>19.379146686328482</v>
      </c>
      <c r="AD348">
        <v>14.285372180750107</v>
      </c>
      <c r="AE348" t="s">
        <v>227</v>
      </c>
    </row>
    <row r="349" spans="1:31" x14ac:dyDescent="0.3">
      <c r="A349">
        <v>347</v>
      </c>
      <c r="B349" t="s">
        <v>218</v>
      </c>
      <c r="C349" t="s">
        <v>189</v>
      </c>
      <c r="D349">
        <v>3</v>
      </c>
      <c r="E349" s="7" t="s">
        <v>21</v>
      </c>
      <c r="F349">
        <v>12</v>
      </c>
      <c r="G349" t="s">
        <v>27</v>
      </c>
      <c r="H349" t="s">
        <v>584</v>
      </c>
      <c r="I349" t="s">
        <v>440</v>
      </c>
      <c r="J349">
        <v>0.88400000000000001</v>
      </c>
      <c r="K349">
        <v>0.19600000000000001</v>
      </c>
      <c r="L349" s="7">
        <v>1.53</v>
      </c>
      <c r="M349">
        <v>1.73</v>
      </c>
      <c r="N349">
        <v>1.27</v>
      </c>
      <c r="O349">
        <v>1.5</v>
      </c>
      <c r="P349">
        <f t="shared" si="5"/>
        <v>1.5074999999999998</v>
      </c>
      <c r="Q349">
        <v>1.7142550052007752E-2</v>
      </c>
      <c r="R349">
        <v>5.1724181435093212E-2</v>
      </c>
      <c r="S349">
        <v>0.80946358444001509</v>
      </c>
      <c r="T349">
        <v>0.74209028307266467</v>
      </c>
      <c r="U349">
        <v>1.2863063735676905</v>
      </c>
      <c r="V349">
        <v>0.12954325502413891</v>
      </c>
      <c r="W349">
        <v>479</v>
      </c>
      <c r="X349">
        <v>659</v>
      </c>
      <c r="Y349">
        <v>0.72166958337171105</v>
      </c>
      <c r="Z349">
        <v>0.14166159877898996</v>
      </c>
      <c r="AB349">
        <v>32.831224213193991</v>
      </c>
      <c r="AC349">
        <v>29.385770221400328</v>
      </c>
      <c r="AD349">
        <v>22.845078610546068</v>
      </c>
      <c r="AE349" t="s">
        <v>227</v>
      </c>
    </row>
    <row r="350" spans="1:31" x14ac:dyDescent="0.3">
      <c r="A350">
        <v>348</v>
      </c>
      <c r="B350" t="s">
        <v>218</v>
      </c>
      <c r="C350" t="s">
        <v>189</v>
      </c>
      <c r="D350">
        <v>3</v>
      </c>
      <c r="E350" s="7" t="s">
        <v>21</v>
      </c>
      <c r="F350">
        <v>11</v>
      </c>
      <c r="G350" t="s">
        <v>23</v>
      </c>
      <c r="H350" t="s">
        <v>585</v>
      </c>
      <c r="I350" t="s">
        <v>430</v>
      </c>
      <c r="J350">
        <v>2.2120000000000002</v>
      </c>
      <c r="K350">
        <v>0.77</v>
      </c>
      <c r="L350" s="7">
        <v>1.79</v>
      </c>
      <c r="M350">
        <v>1.88</v>
      </c>
      <c r="N350">
        <v>1.59</v>
      </c>
      <c r="O350">
        <v>2.06</v>
      </c>
      <c r="P350">
        <f t="shared" si="5"/>
        <v>1.83</v>
      </c>
      <c r="Q350">
        <v>3.9229078053318087E-2</v>
      </c>
      <c r="R350">
        <v>8.1048375629375918E-2</v>
      </c>
      <c r="S350">
        <v>0.76778053789548051</v>
      </c>
      <c r="T350">
        <v>0.84628020754790834</v>
      </c>
      <c r="U350">
        <v>1.0912556848533184</v>
      </c>
      <c r="V350">
        <v>7.2485816106234308E-2</v>
      </c>
      <c r="W350">
        <v>368</v>
      </c>
      <c r="X350">
        <v>591</v>
      </c>
      <c r="Y350">
        <v>0.6175540717913599</v>
      </c>
      <c r="Z350">
        <v>0.20932501045288193</v>
      </c>
      <c r="AB350">
        <v>53.990223497117086</v>
      </c>
      <c r="AC350">
        <v>48.32402548788852</v>
      </c>
      <c r="AD350">
        <v>44.282954177126705</v>
      </c>
      <c r="AE350" t="s">
        <v>227</v>
      </c>
    </row>
    <row r="351" spans="1:31" x14ac:dyDescent="0.3">
      <c r="A351">
        <v>349</v>
      </c>
      <c r="B351" t="s">
        <v>218</v>
      </c>
      <c r="C351" t="s">
        <v>189</v>
      </c>
      <c r="D351">
        <v>3</v>
      </c>
      <c r="E351" s="7" t="s">
        <v>21</v>
      </c>
      <c r="F351">
        <v>16</v>
      </c>
      <c r="G351" t="s">
        <v>25</v>
      </c>
      <c r="H351" t="s">
        <v>586</v>
      </c>
      <c r="I351" t="s">
        <v>432</v>
      </c>
      <c r="J351">
        <v>0.47399999999999998</v>
      </c>
      <c r="K351">
        <v>8.6999999999999994E-2</v>
      </c>
      <c r="L351" s="7">
        <v>1.2</v>
      </c>
      <c r="M351">
        <v>1.06</v>
      </c>
      <c r="N351">
        <v>1.1200000000000001</v>
      </c>
      <c r="O351">
        <v>1</v>
      </c>
      <c r="P351">
        <f t="shared" si="5"/>
        <v>1.095</v>
      </c>
      <c r="Q351">
        <v>4.7494444310757201E-2</v>
      </c>
      <c r="R351">
        <v>0.11562026111270605</v>
      </c>
      <c r="S351">
        <v>0.88472392085854823</v>
      </c>
      <c r="T351">
        <v>0.86641006011252097</v>
      </c>
      <c r="U351">
        <v>0.93696605416450707</v>
      </c>
      <c r="V351">
        <v>6.227651364729056E-2</v>
      </c>
      <c r="W351">
        <v>577</v>
      </c>
      <c r="X351">
        <v>748</v>
      </c>
      <c r="Y351">
        <v>0.76629000100664535</v>
      </c>
      <c r="Z351">
        <v>0.1156068413309167</v>
      </c>
      <c r="AB351">
        <v>26.062586669319863</v>
      </c>
      <c r="AC351">
        <v>23.327487179489943</v>
      </c>
      <c r="AD351">
        <v>24.896832788986224</v>
      </c>
      <c r="AE351" t="s">
        <v>227</v>
      </c>
    </row>
    <row r="352" spans="1:31" x14ac:dyDescent="0.3">
      <c r="A352">
        <v>350</v>
      </c>
      <c r="B352" t="s">
        <v>218</v>
      </c>
      <c r="C352" t="s">
        <v>189</v>
      </c>
      <c r="D352">
        <v>3</v>
      </c>
      <c r="E352" s="7" t="s">
        <v>21</v>
      </c>
      <c r="F352">
        <v>6</v>
      </c>
      <c r="G352" t="s">
        <v>26</v>
      </c>
      <c r="H352" t="s">
        <v>587</v>
      </c>
      <c r="I352" t="s">
        <v>436</v>
      </c>
      <c r="J352">
        <v>3.7709999999999999</v>
      </c>
      <c r="K352">
        <v>1.103</v>
      </c>
      <c r="L352" s="7">
        <v>1.87</v>
      </c>
      <c r="M352">
        <v>1.99</v>
      </c>
      <c r="N352">
        <v>2.21</v>
      </c>
      <c r="O352">
        <v>1.64</v>
      </c>
      <c r="P352">
        <f t="shared" si="5"/>
        <v>1.9275</v>
      </c>
      <c r="Q352">
        <v>2.5921425558875305E-2</v>
      </c>
      <c r="R352">
        <v>3.583627246811788E-2</v>
      </c>
      <c r="S352">
        <v>0.65463531297568633</v>
      </c>
      <c r="T352">
        <v>0.95085822942632303</v>
      </c>
      <c r="U352">
        <v>1.4456771700678717</v>
      </c>
      <c r="V352">
        <v>2.1884230452276363E-2</v>
      </c>
      <c r="W352">
        <v>300</v>
      </c>
      <c r="X352">
        <v>559</v>
      </c>
      <c r="Y352">
        <v>0.53165264754273123</v>
      </c>
      <c r="Z352">
        <v>0.27437201906647185</v>
      </c>
      <c r="AB352">
        <v>79.205946019189284</v>
      </c>
      <c r="AC352">
        <v>70.893059787565491</v>
      </c>
      <c r="AD352">
        <v>49.037960379658763</v>
      </c>
      <c r="AE352" t="s">
        <v>227</v>
      </c>
    </row>
    <row r="353" spans="1:31" x14ac:dyDescent="0.3">
      <c r="A353">
        <v>351</v>
      </c>
      <c r="B353" t="s">
        <v>218</v>
      </c>
      <c r="C353" t="s">
        <v>189</v>
      </c>
      <c r="D353">
        <v>4</v>
      </c>
      <c r="E353" s="7" t="s">
        <v>21</v>
      </c>
      <c r="F353">
        <v>6</v>
      </c>
      <c r="G353" t="s">
        <v>26</v>
      </c>
      <c r="H353" t="s">
        <v>588</v>
      </c>
      <c r="I353" t="s">
        <v>436</v>
      </c>
      <c r="J353">
        <v>2.4649999999999999</v>
      </c>
      <c r="K353">
        <v>0.7</v>
      </c>
      <c r="L353" s="7">
        <v>2.19</v>
      </c>
      <c r="M353">
        <v>1.87</v>
      </c>
      <c r="N353">
        <v>1.48</v>
      </c>
      <c r="O353">
        <v>1.49</v>
      </c>
      <c r="P353">
        <f t="shared" si="5"/>
        <v>1.7575000000000003</v>
      </c>
      <c r="Q353">
        <v>2.969061243860972E-2</v>
      </c>
      <c r="R353">
        <v>5.3361306733776537E-2</v>
      </c>
      <c r="S353">
        <v>0.68777743192767826</v>
      </c>
      <c r="T353">
        <v>0.94631099306919619</v>
      </c>
      <c r="U353">
        <v>1.2727735437781691</v>
      </c>
      <c r="V353">
        <v>2.3966114784114045E-2</v>
      </c>
      <c r="W353">
        <v>262</v>
      </c>
      <c r="X353">
        <v>547</v>
      </c>
      <c r="Y353">
        <v>0.47405269627491847</v>
      </c>
      <c r="Z353">
        <v>0.32417337893906767</v>
      </c>
      <c r="AB353">
        <v>101.74160942646272</v>
      </c>
      <c r="AC353">
        <v>91.063247694257825</v>
      </c>
      <c r="AD353">
        <v>71.547093463257269</v>
      </c>
      <c r="AE353" t="s">
        <v>227</v>
      </c>
    </row>
    <row r="354" spans="1:31" x14ac:dyDescent="0.3">
      <c r="A354">
        <v>352</v>
      </c>
      <c r="B354" t="s">
        <v>218</v>
      </c>
      <c r="C354" t="s">
        <v>189</v>
      </c>
      <c r="D354">
        <v>4</v>
      </c>
      <c r="E354" s="7" t="s">
        <v>21</v>
      </c>
      <c r="F354">
        <v>1</v>
      </c>
      <c r="G354" t="s">
        <v>24</v>
      </c>
      <c r="H354" t="s">
        <v>589</v>
      </c>
      <c r="I354" t="s">
        <v>434</v>
      </c>
      <c r="J354">
        <v>2.3010000000000002</v>
      </c>
      <c r="K354">
        <v>1.02</v>
      </c>
      <c r="L354" s="7">
        <v>6.19</v>
      </c>
      <c r="M354">
        <v>6.13</v>
      </c>
      <c r="N354">
        <v>4.63</v>
      </c>
      <c r="O354">
        <v>4.87</v>
      </c>
      <c r="P354">
        <f t="shared" si="5"/>
        <v>5.4550000000000001</v>
      </c>
      <c r="Q354">
        <v>3.6626328004636929E-2</v>
      </c>
      <c r="R354">
        <v>5.1181067655228743E-2</v>
      </c>
      <c r="S354">
        <v>0.63228985473745447</v>
      </c>
      <c r="T354">
        <v>0.85106686030553236</v>
      </c>
      <c r="U354">
        <v>1.2908906588173727</v>
      </c>
      <c r="V354">
        <v>7.0036320149093639E-2</v>
      </c>
      <c r="W354">
        <v>355</v>
      </c>
      <c r="X354">
        <v>530</v>
      </c>
      <c r="Y354">
        <v>0.66430106568732916</v>
      </c>
      <c r="Z354">
        <v>0.17763505085251152</v>
      </c>
      <c r="AB354">
        <v>43.436689282491642</v>
      </c>
      <c r="AC354">
        <v>38.878160605602474</v>
      </c>
      <c r="AD354">
        <v>30.117315002666476</v>
      </c>
      <c r="AE354" t="s">
        <v>227</v>
      </c>
    </row>
    <row r="355" spans="1:31" x14ac:dyDescent="0.3">
      <c r="A355">
        <v>353</v>
      </c>
      <c r="B355" t="s">
        <v>218</v>
      </c>
      <c r="C355" t="s">
        <v>189</v>
      </c>
      <c r="D355">
        <v>4</v>
      </c>
      <c r="E355" s="7" t="s">
        <v>21</v>
      </c>
      <c r="F355">
        <v>14</v>
      </c>
      <c r="G355" t="s">
        <v>23</v>
      </c>
      <c r="H355" t="s">
        <v>590</v>
      </c>
      <c r="I355" t="s">
        <v>430</v>
      </c>
      <c r="J355">
        <v>0.49</v>
      </c>
      <c r="K355">
        <v>0.17299999999999999</v>
      </c>
      <c r="L355" s="7">
        <v>1.89</v>
      </c>
      <c r="M355">
        <v>1.79</v>
      </c>
      <c r="N355">
        <v>2.02</v>
      </c>
      <c r="O355">
        <v>2.2999999999999998</v>
      </c>
      <c r="P355">
        <f t="shared" si="5"/>
        <v>1.9999999999999998</v>
      </c>
      <c r="Q355">
        <v>3.3897539175578889E-2</v>
      </c>
      <c r="R355">
        <v>4.3863973241709896E-2</v>
      </c>
      <c r="S355">
        <v>0.68833702414847631</v>
      </c>
      <c r="T355">
        <v>0.89495475724103091</v>
      </c>
      <c r="U355">
        <v>1.3578920320566674</v>
      </c>
      <c r="V355">
        <v>4.819891907203111E-2</v>
      </c>
      <c r="W355">
        <v>390</v>
      </c>
      <c r="X355">
        <v>621</v>
      </c>
      <c r="Y355">
        <v>0.62299699504000583</v>
      </c>
      <c r="Z355">
        <v>0.20551404810919499</v>
      </c>
      <c r="AB355">
        <v>52.66108038613271</v>
      </c>
      <c r="AC355">
        <v>47.134387478921326</v>
      </c>
      <c r="AD355">
        <v>34.711439765598627</v>
      </c>
      <c r="AE355" t="s">
        <v>227</v>
      </c>
    </row>
    <row r="356" spans="1:31" x14ac:dyDescent="0.3">
      <c r="A356">
        <v>354</v>
      </c>
      <c r="B356" t="s">
        <v>218</v>
      </c>
      <c r="C356" t="s">
        <v>189</v>
      </c>
      <c r="D356">
        <v>4</v>
      </c>
      <c r="E356" s="7" t="s">
        <v>21</v>
      </c>
      <c r="F356">
        <v>4</v>
      </c>
      <c r="G356" t="s">
        <v>29</v>
      </c>
      <c r="H356" t="s">
        <v>591</v>
      </c>
      <c r="I356" t="s">
        <v>451</v>
      </c>
      <c r="J356">
        <v>2.0430000000000001</v>
      </c>
      <c r="K356">
        <v>0.65</v>
      </c>
      <c r="L356" s="7">
        <v>3.47</v>
      </c>
      <c r="M356">
        <v>2.97</v>
      </c>
      <c r="N356">
        <v>3.39</v>
      </c>
      <c r="O356">
        <v>2.94</v>
      </c>
      <c r="P356">
        <f t="shared" si="5"/>
        <v>3.1924999999999999</v>
      </c>
      <c r="Q356">
        <v>3.3984275617452778E-2</v>
      </c>
      <c r="R356">
        <v>0.1068248055647132</v>
      </c>
      <c r="S356">
        <v>0.76889828705181407</v>
      </c>
      <c r="T356">
        <v>0.85767919406515114</v>
      </c>
      <c r="U356">
        <v>0.9713278889834922</v>
      </c>
      <c r="V356">
        <v>6.6675125088832471E-2</v>
      </c>
      <c r="W356">
        <v>552</v>
      </c>
      <c r="X356">
        <v>723</v>
      </c>
      <c r="Y356">
        <v>0.75835299750350538</v>
      </c>
      <c r="Z356">
        <v>0.12012859228054365</v>
      </c>
      <c r="AB356">
        <v>27.182285124125485</v>
      </c>
      <c r="AC356">
        <v>24.329677914727128</v>
      </c>
      <c r="AD356">
        <v>25.047852728895148</v>
      </c>
      <c r="AE356" t="s">
        <v>227</v>
      </c>
    </row>
    <row r="357" spans="1:31" x14ac:dyDescent="0.3">
      <c r="A357">
        <v>355</v>
      </c>
      <c r="B357" t="s">
        <v>218</v>
      </c>
      <c r="C357" t="s">
        <v>189</v>
      </c>
      <c r="D357">
        <v>4</v>
      </c>
      <c r="E357" s="7" t="s">
        <v>21</v>
      </c>
      <c r="F357">
        <v>10</v>
      </c>
      <c r="G357" t="s">
        <v>192</v>
      </c>
      <c r="H357" t="s">
        <v>592</v>
      </c>
      <c r="I357" t="s">
        <v>442</v>
      </c>
      <c r="J357">
        <v>3.3540000000000001</v>
      </c>
      <c r="K357">
        <v>0.80200000000000005</v>
      </c>
      <c r="L357">
        <v>3.19</v>
      </c>
      <c r="M357">
        <v>3.39</v>
      </c>
      <c r="N357">
        <v>2.97</v>
      </c>
      <c r="O357">
        <v>2.94</v>
      </c>
      <c r="P357">
        <f t="shared" si="5"/>
        <v>3.1225000000000001</v>
      </c>
      <c r="Q357">
        <v>2.4736918333549438E-2</v>
      </c>
      <c r="R357">
        <v>9.4388400198491818E-2</v>
      </c>
      <c r="S357">
        <v>0.80171074848417367</v>
      </c>
      <c r="T357">
        <v>0.93225032231287086</v>
      </c>
      <c r="U357">
        <v>1.0250813747626066</v>
      </c>
      <c r="V357">
        <v>3.0467457815218299E-2</v>
      </c>
      <c r="W357">
        <v>458</v>
      </c>
      <c r="X357">
        <v>664</v>
      </c>
      <c r="Y357">
        <v>0.68469511606766509</v>
      </c>
      <c r="Z357">
        <v>0.16450276994548654</v>
      </c>
      <c r="AB357">
        <v>39.395721958614452</v>
      </c>
      <c r="AC357">
        <v>35.261310949238819</v>
      </c>
      <c r="AD357">
        <v>34.398548073712497</v>
      </c>
      <c r="AE357" t="s">
        <v>227</v>
      </c>
    </row>
    <row r="358" spans="1:31" x14ac:dyDescent="0.3">
      <c r="A358">
        <v>356</v>
      </c>
      <c r="B358" t="s">
        <v>218</v>
      </c>
      <c r="C358" t="s">
        <v>189</v>
      </c>
      <c r="D358">
        <v>4</v>
      </c>
      <c r="E358" s="7" t="s">
        <v>21</v>
      </c>
      <c r="F358">
        <v>8</v>
      </c>
      <c r="G358" t="s">
        <v>27</v>
      </c>
      <c r="H358" t="s">
        <v>593</v>
      </c>
      <c r="I358" t="s">
        <v>440</v>
      </c>
      <c r="J358">
        <v>0.76100000000000001</v>
      </c>
      <c r="K358">
        <v>0.16800000000000001</v>
      </c>
      <c r="L358">
        <v>2.23</v>
      </c>
      <c r="M358">
        <v>1.65</v>
      </c>
      <c r="N358">
        <v>1.97</v>
      </c>
      <c r="O358">
        <v>1.84</v>
      </c>
      <c r="P358">
        <f t="shared" si="5"/>
        <v>1.9224999999999999</v>
      </c>
      <c r="Q358">
        <v>3.7483800566618396E-2</v>
      </c>
      <c r="R358">
        <v>0.15546363611772876</v>
      </c>
      <c r="S358">
        <v>0.82050854914423133</v>
      </c>
      <c r="T358">
        <v>0.83212836461232464</v>
      </c>
      <c r="U358">
        <v>0.80837117885748511</v>
      </c>
      <c r="V358">
        <v>7.9809674018506652E-2</v>
      </c>
      <c r="W358">
        <v>510</v>
      </c>
      <c r="X358">
        <v>677</v>
      </c>
      <c r="Y358">
        <v>0.74810564554154291</v>
      </c>
      <c r="Z358">
        <v>0.12603706786286512</v>
      </c>
      <c r="AB358">
        <v>28.680173078164117</v>
      </c>
      <c r="AC358">
        <v>25.670367188357716</v>
      </c>
      <c r="AD358">
        <v>31.755668509408068</v>
      </c>
      <c r="AE358" t="s">
        <v>227</v>
      </c>
    </row>
    <row r="359" spans="1:31" x14ac:dyDescent="0.3">
      <c r="A359">
        <v>357</v>
      </c>
      <c r="B359" t="s">
        <v>219</v>
      </c>
      <c r="C359" t="s">
        <v>189</v>
      </c>
      <c r="D359">
        <v>1</v>
      </c>
      <c r="E359" s="7" t="s">
        <v>21</v>
      </c>
      <c r="F359">
        <v>1</v>
      </c>
      <c r="G359" t="s">
        <v>192</v>
      </c>
      <c r="H359" t="s">
        <v>594</v>
      </c>
      <c r="I359" t="s">
        <v>442</v>
      </c>
      <c r="J359">
        <v>4.6849999999999996</v>
      </c>
      <c r="K359">
        <v>1.4690000000000001</v>
      </c>
      <c r="L359" s="7">
        <v>2.1</v>
      </c>
      <c r="M359">
        <v>1.97</v>
      </c>
      <c r="N359">
        <v>1.76</v>
      </c>
      <c r="O359">
        <v>1.85</v>
      </c>
      <c r="P359">
        <f t="shared" si="5"/>
        <v>1.92</v>
      </c>
      <c r="Q359">
        <v>2.886309722551134E-2</v>
      </c>
      <c r="R359">
        <v>4.0214412044627869E-2</v>
      </c>
      <c r="S359">
        <v>0.71057019805788002</v>
      </c>
      <c r="T359">
        <v>0.84059302765379129</v>
      </c>
      <c r="U359">
        <v>1.3956182765235516</v>
      </c>
      <c r="V359">
        <v>7.541421659568108E-2</v>
      </c>
      <c r="W359">
        <v>482</v>
      </c>
      <c r="X359">
        <v>566</v>
      </c>
      <c r="Y359">
        <v>0.94359659375521787</v>
      </c>
      <c r="Z359">
        <v>2.5213635522753023E-2</v>
      </c>
      <c r="AB359">
        <v>8.5240809832328406</v>
      </c>
      <c r="AC359">
        <v>7.6293609955246922</v>
      </c>
      <c r="AD359">
        <v>5.4666531127187801</v>
      </c>
      <c r="AE359" t="s">
        <v>227</v>
      </c>
    </row>
    <row r="360" spans="1:31" x14ac:dyDescent="0.3">
      <c r="A360">
        <v>358</v>
      </c>
      <c r="B360" t="s">
        <v>219</v>
      </c>
      <c r="C360" t="s">
        <v>189</v>
      </c>
      <c r="D360">
        <v>1</v>
      </c>
      <c r="E360" s="7" t="s">
        <v>21</v>
      </c>
      <c r="F360">
        <v>2</v>
      </c>
      <c r="G360" t="s">
        <v>24</v>
      </c>
      <c r="H360" t="s">
        <v>595</v>
      </c>
      <c r="I360" t="s">
        <v>434</v>
      </c>
      <c r="J360">
        <v>0.88500000000000001</v>
      </c>
      <c r="K360">
        <v>0.34699999999999998</v>
      </c>
      <c r="L360" s="7">
        <v>4.1900000000000004</v>
      </c>
      <c r="M360">
        <v>4.05</v>
      </c>
      <c r="N360">
        <v>3.99</v>
      </c>
      <c r="O360">
        <v>3.46</v>
      </c>
      <c r="P360">
        <f t="shared" si="5"/>
        <v>3.9225000000000003</v>
      </c>
      <c r="Q360">
        <v>1.4296041114044348E-2</v>
      </c>
      <c r="R360">
        <v>3.0643701485794438E-2</v>
      </c>
      <c r="S360">
        <v>0.72755862035728724</v>
      </c>
      <c r="T360">
        <v>0.75619764943980727</v>
      </c>
      <c r="U360">
        <v>1.5136587769714336</v>
      </c>
      <c r="V360">
        <v>0.12136467692972183</v>
      </c>
      <c r="W360">
        <v>620</v>
      </c>
      <c r="X360">
        <v>676</v>
      </c>
      <c r="Y360">
        <v>1.0169000698812019</v>
      </c>
      <c r="Z360">
        <v>-7.2782771788891688E-3</v>
      </c>
      <c r="AB360">
        <v>4.4746489804705769</v>
      </c>
      <c r="AC360">
        <v>4.0047235328712034</v>
      </c>
      <c r="AD360">
        <v>2.6457241181423692</v>
      </c>
      <c r="AE360" t="s">
        <v>227</v>
      </c>
    </row>
    <row r="361" spans="1:31" x14ac:dyDescent="0.3">
      <c r="A361">
        <v>359</v>
      </c>
      <c r="B361" t="s">
        <v>219</v>
      </c>
      <c r="C361" t="s">
        <v>189</v>
      </c>
      <c r="D361">
        <v>1</v>
      </c>
      <c r="E361" s="7" t="s">
        <v>21</v>
      </c>
      <c r="F361">
        <v>5</v>
      </c>
      <c r="G361" t="s">
        <v>27</v>
      </c>
      <c r="H361" t="s">
        <v>596</v>
      </c>
      <c r="I361" t="s">
        <v>440</v>
      </c>
      <c r="J361">
        <v>1.9690000000000001</v>
      </c>
      <c r="K361">
        <v>0.50800000000000001</v>
      </c>
      <c r="L361" s="7">
        <v>1.39</v>
      </c>
      <c r="M361">
        <v>1.66</v>
      </c>
      <c r="N361">
        <v>1.2</v>
      </c>
      <c r="O361">
        <v>1.43</v>
      </c>
      <c r="P361">
        <f t="shared" si="5"/>
        <v>1.42</v>
      </c>
      <c r="Q361">
        <v>3.0104367348407771E-2</v>
      </c>
      <c r="R361">
        <v>5.1945845529033551E-2</v>
      </c>
      <c r="S361">
        <v>0.71642429426860565</v>
      </c>
      <c r="T361">
        <v>0.84142553202783543</v>
      </c>
      <c r="U361">
        <v>1.2844491802716509</v>
      </c>
      <c r="V361">
        <v>7.4984313984619314E-2</v>
      </c>
      <c r="W361">
        <v>491</v>
      </c>
      <c r="X361">
        <v>619</v>
      </c>
      <c r="Y361">
        <v>0.87884838493008488</v>
      </c>
      <c r="Z361">
        <v>5.6086041044097291E-2</v>
      </c>
      <c r="AB361">
        <v>13.476385802859228</v>
      </c>
      <c r="AC361">
        <v>12.062060891986114</v>
      </c>
      <c r="AD361">
        <v>9.3908432324547739</v>
      </c>
      <c r="AE361" t="s">
        <v>227</v>
      </c>
    </row>
    <row r="362" spans="1:31" x14ac:dyDescent="0.3">
      <c r="A362">
        <v>360</v>
      </c>
      <c r="B362" t="s">
        <v>219</v>
      </c>
      <c r="C362" t="s">
        <v>189</v>
      </c>
      <c r="D362">
        <v>1</v>
      </c>
      <c r="E362" s="7" t="s">
        <v>21</v>
      </c>
      <c r="F362">
        <v>7</v>
      </c>
      <c r="G362" t="s">
        <v>25</v>
      </c>
      <c r="H362" t="s">
        <v>597</v>
      </c>
      <c r="I362" t="s">
        <v>432</v>
      </c>
      <c r="J362">
        <v>2.282</v>
      </c>
      <c r="K362">
        <v>0.51800000000000002</v>
      </c>
      <c r="L362" s="7">
        <v>1.43</v>
      </c>
      <c r="M362">
        <v>1.35</v>
      </c>
      <c r="N362">
        <v>1.33</v>
      </c>
      <c r="O362">
        <v>1.1499999999999999</v>
      </c>
      <c r="P362">
        <f t="shared" si="5"/>
        <v>1.3149999999999999</v>
      </c>
      <c r="Q362">
        <v>3.1401859189538722E-2</v>
      </c>
      <c r="R362">
        <v>4.573133285427794E-2</v>
      </c>
      <c r="S362">
        <v>0.71867967494461049</v>
      </c>
      <c r="T362">
        <v>0.74782023365999617</v>
      </c>
      <c r="U362">
        <v>1.3397861407837046</v>
      </c>
      <c r="V362">
        <v>0.12620278838211382</v>
      </c>
      <c r="W362">
        <v>607</v>
      </c>
      <c r="X362">
        <v>641</v>
      </c>
      <c r="Y362">
        <v>1.0499508647798741</v>
      </c>
      <c r="Z362">
        <v>-2.1168975589679964E-2</v>
      </c>
      <c r="AB362">
        <v>3.107307891590513</v>
      </c>
      <c r="AC362">
        <v>2.7807876604345836</v>
      </c>
      <c r="AD362">
        <v>2.0755459216856571</v>
      </c>
      <c r="AE362" t="s">
        <v>227</v>
      </c>
    </row>
    <row r="363" spans="1:31" x14ac:dyDescent="0.3">
      <c r="A363">
        <v>361</v>
      </c>
      <c r="B363" t="s">
        <v>219</v>
      </c>
      <c r="C363" t="s">
        <v>189</v>
      </c>
      <c r="D363">
        <v>1</v>
      </c>
      <c r="E363" s="7" t="s">
        <v>21</v>
      </c>
      <c r="F363">
        <v>12</v>
      </c>
      <c r="G363" t="s">
        <v>23</v>
      </c>
      <c r="H363" t="s">
        <v>598</v>
      </c>
      <c r="I363" t="s">
        <v>430</v>
      </c>
      <c r="J363">
        <v>1.02</v>
      </c>
      <c r="K363">
        <v>0.39</v>
      </c>
      <c r="L363" s="7">
        <v>2.25</v>
      </c>
      <c r="M363">
        <v>2.2000000000000002</v>
      </c>
      <c r="N363">
        <v>2.0699999999999998</v>
      </c>
      <c r="O363">
        <v>2.2799999999999998</v>
      </c>
      <c r="P363">
        <f t="shared" si="5"/>
        <v>2.1999999999999997</v>
      </c>
      <c r="Q363">
        <v>2.0099384536577201E-2</v>
      </c>
      <c r="R363">
        <v>3.0158256709781853E-2</v>
      </c>
      <c r="S363">
        <v>0.64451280826144619</v>
      </c>
      <c r="T363">
        <v>1.0404163290998125</v>
      </c>
      <c r="U363">
        <v>1.5205937663567628</v>
      </c>
      <c r="V363">
        <v>-1.7207159731343687E-2</v>
      </c>
      <c r="W363">
        <v>385</v>
      </c>
      <c r="X363">
        <v>620</v>
      </c>
      <c r="Y363">
        <v>0.68722935145954622</v>
      </c>
      <c r="Z363">
        <v>0.16289830013039694</v>
      </c>
      <c r="AB363">
        <v>38.915359117988878</v>
      </c>
      <c r="AC363">
        <v>34.831363871103257</v>
      </c>
      <c r="AD363">
        <v>22.906422899889158</v>
      </c>
      <c r="AE363" t="s">
        <v>227</v>
      </c>
    </row>
    <row r="364" spans="1:31" x14ac:dyDescent="0.3">
      <c r="A364">
        <v>362</v>
      </c>
      <c r="B364" t="s">
        <v>219</v>
      </c>
      <c r="C364" t="s">
        <v>189</v>
      </c>
      <c r="D364">
        <v>1</v>
      </c>
      <c r="E364" s="7" t="s">
        <v>21</v>
      </c>
      <c r="F364">
        <v>13</v>
      </c>
      <c r="G364" t="s">
        <v>22</v>
      </c>
      <c r="H364" t="s">
        <v>599</v>
      </c>
      <c r="I364" t="s">
        <v>444</v>
      </c>
      <c r="J364">
        <v>1.79</v>
      </c>
      <c r="K364">
        <v>0.82099999999999995</v>
      </c>
      <c r="L364" s="7">
        <v>4.1399999999999997</v>
      </c>
      <c r="M364">
        <v>4.2300000000000004</v>
      </c>
      <c r="N364">
        <v>4.67</v>
      </c>
      <c r="O364">
        <v>4.95</v>
      </c>
      <c r="P364">
        <f t="shared" si="5"/>
        <v>4.4975000000000005</v>
      </c>
      <c r="Q364">
        <v>2.1750405409224616E-2</v>
      </c>
      <c r="R364">
        <v>3.5355170589235339E-2</v>
      </c>
      <c r="S364">
        <v>0.62295974553356348</v>
      </c>
      <c r="T364">
        <v>0.8722018997478399</v>
      </c>
      <c r="U364">
        <v>1.4515470629374649</v>
      </c>
      <c r="V364">
        <v>5.938297172232021E-2</v>
      </c>
      <c r="W364">
        <v>547</v>
      </c>
      <c r="X364">
        <v>645</v>
      </c>
      <c r="Y364">
        <v>0.9399488261260206</v>
      </c>
      <c r="Z364">
        <v>2.6895790162071338E-2</v>
      </c>
      <c r="AB364">
        <v>8.7661896293933221</v>
      </c>
      <c r="AC364">
        <v>7.8460690490459868</v>
      </c>
      <c r="AD364">
        <v>5.4053149562839966</v>
      </c>
      <c r="AE364" t="s">
        <v>227</v>
      </c>
    </row>
    <row r="365" spans="1:31" x14ac:dyDescent="0.3">
      <c r="A365">
        <v>363</v>
      </c>
      <c r="B365" t="s">
        <v>219</v>
      </c>
      <c r="C365" t="s">
        <v>189</v>
      </c>
      <c r="D365">
        <v>1</v>
      </c>
      <c r="E365" s="7" t="s">
        <v>21</v>
      </c>
      <c r="F365">
        <v>15</v>
      </c>
      <c r="G365" t="s">
        <v>28</v>
      </c>
      <c r="H365" t="s">
        <v>600</v>
      </c>
      <c r="I365" t="s">
        <v>438</v>
      </c>
      <c r="J365">
        <v>1.393</v>
      </c>
      <c r="K365">
        <v>0.53800000000000003</v>
      </c>
      <c r="L365" s="7">
        <v>5.01</v>
      </c>
      <c r="M365">
        <v>4.9400000000000004</v>
      </c>
      <c r="N365">
        <v>3.67</v>
      </c>
      <c r="O365">
        <v>3.68</v>
      </c>
      <c r="P365">
        <f t="shared" si="5"/>
        <v>4.3250000000000002</v>
      </c>
      <c r="Q365">
        <v>2.7163040731446715E-2</v>
      </c>
      <c r="R365">
        <v>0.36201776708452033</v>
      </c>
      <c r="S365">
        <v>1.0651653308346192</v>
      </c>
      <c r="T365">
        <v>0.89319367770815228</v>
      </c>
      <c r="U365">
        <v>0.4412701146673389</v>
      </c>
      <c r="V365">
        <v>4.9054359655883992E-2</v>
      </c>
      <c r="W365">
        <v>612</v>
      </c>
      <c r="X365">
        <v>681</v>
      </c>
      <c r="Y365">
        <v>0.99635590085090642</v>
      </c>
      <c r="Z365">
        <v>1.5855027743709798E-3</v>
      </c>
      <c r="AB365">
        <v>5.4610604230992639</v>
      </c>
      <c r="AC365">
        <v>4.887668576809661</v>
      </c>
      <c r="AD365">
        <v>11.076364372634519</v>
      </c>
      <c r="AE365" t="s">
        <v>227</v>
      </c>
    </row>
    <row r="366" spans="1:31" x14ac:dyDescent="0.3">
      <c r="A366">
        <v>364</v>
      </c>
      <c r="B366" t="s">
        <v>219</v>
      </c>
      <c r="C366" t="s">
        <v>189</v>
      </c>
      <c r="D366">
        <v>2</v>
      </c>
      <c r="E366" s="7" t="s">
        <v>21</v>
      </c>
      <c r="F366">
        <v>3</v>
      </c>
      <c r="G366" t="s">
        <v>28</v>
      </c>
      <c r="H366" t="s">
        <v>601</v>
      </c>
      <c r="I366" t="s">
        <v>438</v>
      </c>
      <c r="J366">
        <v>2.7029999999999998</v>
      </c>
      <c r="K366">
        <v>0.95499999999999996</v>
      </c>
      <c r="L366" s="7">
        <v>5.16</v>
      </c>
      <c r="M366">
        <v>5.83</v>
      </c>
      <c r="N366">
        <v>4.3099999999999996</v>
      </c>
      <c r="O366">
        <v>3.41</v>
      </c>
      <c r="P366">
        <f t="shared" si="5"/>
        <v>4.6775000000000002</v>
      </c>
      <c r="Q366">
        <v>3.0764364086597756E-2</v>
      </c>
      <c r="R366">
        <v>6.185519998638931E-2</v>
      </c>
      <c r="S366">
        <v>0.82806530388613453</v>
      </c>
      <c r="T366">
        <v>0.83327862768005434</v>
      </c>
      <c r="U366">
        <v>1.2086237846287688</v>
      </c>
      <c r="V366">
        <v>7.9209757019479465E-2</v>
      </c>
      <c r="W366">
        <v>441</v>
      </c>
      <c r="X366">
        <v>593</v>
      </c>
      <c r="Y366">
        <v>0.82363802481727011</v>
      </c>
      <c r="Z366">
        <v>8.4263611559700108E-2</v>
      </c>
      <c r="AB366">
        <v>18.936035716948105</v>
      </c>
      <c r="AC366">
        <v>16.948810208938859</v>
      </c>
      <c r="AD366">
        <v>14.023230739369174</v>
      </c>
      <c r="AE366" t="s">
        <v>227</v>
      </c>
    </row>
    <row r="367" spans="1:31" x14ac:dyDescent="0.3">
      <c r="A367">
        <v>365</v>
      </c>
      <c r="B367" t="s">
        <v>219</v>
      </c>
      <c r="C367" t="s">
        <v>189</v>
      </c>
      <c r="D367">
        <v>2</v>
      </c>
      <c r="E367" s="7" t="s">
        <v>21</v>
      </c>
      <c r="F367">
        <v>4</v>
      </c>
      <c r="G367" t="s">
        <v>23</v>
      </c>
      <c r="H367" t="s">
        <v>604</v>
      </c>
      <c r="I367" t="s">
        <v>430</v>
      </c>
      <c r="J367">
        <v>0.13600000000000001</v>
      </c>
      <c r="K367">
        <v>5.8000000000000003E-2</v>
      </c>
      <c r="L367" s="7">
        <v>1.92</v>
      </c>
      <c r="M367">
        <v>1.72</v>
      </c>
      <c r="N367">
        <v>1.69</v>
      </c>
      <c r="O367">
        <v>1.89</v>
      </c>
      <c r="P367">
        <f t="shared" si="5"/>
        <v>1.8049999999999999</v>
      </c>
      <c r="Q367">
        <v>3.9082759719700474E-2</v>
      </c>
      <c r="R367">
        <v>3.3145472427408125E-2</v>
      </c>
      <c r="S367">
        <v>0.60535150834414919</v>
      </c>
      <c r="T367">
        <v>0.73934779301229692</v>
      </c>
      <c r="U367">
        <v>1.4795757865377086</v>
      </c>
      <c r="V367">
        <v>0.13115121917697764</v>
      </c>
      <c r="W367">
        <v>486</v>
      </c>
      <c r="X367">
        <v>642</v>
      </c>
      <c r="Y367">
        <v>0.83865030072901026</v>
      </c>
      <c r="Z367">
        <v>7.6419092953306678E-2</v>
      </c>
      <c r="AB367">
        <v>17.326017323747834</v>
      </c>
      <c r="AC367">
        <v>15.507741892253906</v>
      </c>
      <c r="AD367">
        <v>10.481208217487056</v>
      </c>
      <c r="AE367" t="s">
        <v>227</v>
      </c>
    </row>
    <row r="368" spans="1:31" x14ac:dyDescent="0.3">
      <c r="A368">
        <v>366</v>
      </c>
      <c r="B368" t="s">
        <v>219</v>
      </c>
      <c r="C368" t="s">
        <v>189</v>
      </c>
      <c r="D368">
        <v>2</v>
      </c>
      <c r="E368" s="7" t="s">
        <v>21</v>
      </c>
      <c r="F368">
        <v>6</v>
      </c>
      <c r="G368" t="s">
        <v>24</v>
      </c>
      <c r="H368" t="s">
        <v>602</v>
      </c>
      <c r="I368" t="s">
        <v>434</v>
      </c>
      <c r="J368">
        <v>0.68300000000000005</v>
      </c>
      <c r="K368">
        <v>0.35</v>
      </c>
      <c r="L368" s="7">
        <v>4.4400000000000004</v>
      </c>
      <c r="M368">
        <v>3.77</v>
      </c>
      <c r="N368">
        <v>2.5</v>
      </c>
      <c r="O368">
        <v>3.84</v>
      </c>
      <c r="P368">
        <f t="shared" si="5"/>
        <v>3.6375000000000002</v>
      </c>
      <c r="Q368">
        <v>2.501644072626473E-2</v>
      </c>
      <c r="R368">
        <v>4.9005446577362326E-2</v>
      </c>
      <c r="S368">
        <v>0.65344020405968772</v>
      </c>
      <c r="T368">
        <v>0.88102887464724122</v>
      </c>
      <c r="U368">
        <v>1.309755648807408</v>
      </c>
      <c r="V368">
        <v>5.5009857882539773E-2</v>
      </c>
      <c r="W368">
        <v>445</v>
      </c>
      <c r="X368">
        <v>658</v>
      </c>
      <c r="Y368">
        <v>0.74891396953945422</v>
      </c>
      <c r="Z368">
        <v>0.12556806841561288</v>
      </c>
      <c r="AB368">
        <v>28.55983395892947</v>
      </c>
      <c r="AC368">
        <v>25.562657347457552</v>
      </c>
      <c r="AD368">
        <v>19.517119373169731</v>
      </c>
      <c r="AE368" t="s">
        <v>227</v>
      </c>
    </row>
    <row r="369" spans="1:31" x14ac:dyDescent="0.3">
      <c r="A369">
        <v>367</v>
      </c>
      <c r="B369" t="s">
        <v>219</v>
      </c>
      <c r="C369" t="s">
        <v>189</v>
      </c>
      <c r="D369">
        <v>2</v>
      </c>
      <c r="E369" s="7" t="s">
        <v>21</v>
      </c>
      <c r="F369">
        <v>10</v>
      </c>
      <c r="G369" t="s">
        <v>27</v>
      </c>
      <c r="H369" t="s">
        <v>603</v>
      </c>
      <c r="I369" t="s">
        <v>440</v>
      </c>
      <c r="J369">
        <v>1.9790000000000001</v>
      </c>
      <c r="K369">
        <v>0.60099999999999998</v>
      </c>
      <c r="L369" s="7">
        <v>2.41</v>
      </c>
      <c r="M369">
        <v>1.92</v>
      </c>
      <c r="N369">
        <v>2.1</v>
      </c>
      <c r="O369">
        <v>2.0699999999999998</v>
      </c>
      <c r="P369">
        <f t="shared" si="5"/>
        <v>2.125</v>
      </c>
      <c r="Q369">
        <v>6.0901135145828927E-2</v>
      </c>
      <c r="R369">
        <v>7.0492770897921525E-2</v>
      </c>
      <c r="S369">
        <v>0.56444352673962428</v>
      </c>
      <c r="T369">
        <v>0.43369847757521329</v>
      </c>
      <c r="U369">
        <v>1.1518554180457461</v>
      </c>
      <c r="V369">
        <v>0.36281210236552086</v>
      </c>
      <c r="W369">
        <v>412</v>
      </c>
      <c r="X369">
        <v>510</v>
      </c>
      <c r="Y369">
        <v>0.89466335520381568</v>
      </c>
      <c r="Z369">
        <v>4.8340350695924912E-2</v>
      </c>
      <c r="AB369">
        <v>12.13272436671204</v>
      </c>
      <c r="AC369">
        <v>10.859385783469502</v>
      </c>
      <c r="AD369">
        <v>9.4277333885303829</v>
      </c>
      <c r="AE369" t="s">
        <v>227</v>
      </c>
    </row>
    <row r="370" spans="1:31" x14ac:dyDescent="0.3">
      <c r="A370">
        <v>368</v>
      </c>
      <c r="B370" t="s">
        <v>219</v>
      </c>
      <c r="C370" t="s">
        <v>189</v>
      </c>
      <c r="D370">
        <v>2</v>
      </c>
      <c r="E370" s="7" t="s">
        <v>21</v>
      </c>
      <c r="F370">
        <v>12</v>
      </c>
      <c r="G370" t="s">
        <v>29</v>
      </c>
      <c r="H370" t="s">
        <v>605</v>
      </c>
      <c r="I370" t="s">
        <v>451</v>
      </c>
      <c r="J370">
        <v>0.92500000000000004</v>
      </c>
      <c r="K370">
        <v>0.372</v>
      </c>
      <c r="L370" s="7">
        <v>3.45</v>
      </c>
      <c r="M370">
        <v>3.27</v>
      </c>
      <c r="N370">
        <v>2.48</v>
      </c>
      <c r="O370">
        <v>3.1</v>
      </c>
      <c r="P370">
        <f t="shared" si="5"/>
        <v>3.0750000000000002</v>
      </c>
      <c r="Q370">
        <v>6.4143286729616819E-2</v>
      </c>
      <c r="R370">
        <v>0.18373897687125809</v>
      </c>
      <c r="S370">
        <v>0.72172280065128924</v>
      </c>
      <c r="T370">
        <v>0.87540836994485483</v>
      </c>
      <c r="U370">
        <v>0.73579870627144539</v>
      </c>
      <c r="V370">
        <v>5.7789305331441769E-2</v>
      </c>
      <c r="W370">
        <v>452</v>
      </c>
      <c r="X370">
        <v>672</v>
      </c>
      <c r="Y370">
        <v>0.74487529173579281</v>
      </c>
      <c r="Z370">
        <v>0.12791643147255011</v>
      </c>
      <c r="AB370">
        <v>29.164885531602813</v>
      </c>
      <c r="AC370">
        <v>26.104210221146559</v>
      </c>
      <c r="AD370">
        <v>35.47737988481375</v>
      </c>
      <c r="AE370" t="s">
        <v>227</v>
      </c>
    </row>
    <row r="371" spans="1:31" x14ac:dyDescent="0.3">
      <c r="A371">
        <v>369</v>
      </c>
      <c r="B371" t="s">
        <v>219</v>
      </c>
      <c r="C371" t="s">
        <v>189</v>
      </c>
      <c r="D371">
        <v>2</v>
      </c>
      <c r="E371" s="7" t="s">
        <v>21</v>
      </c>
      <c r="F371">
        <v>13</v>
      </c>
      <c r="G371" t="s">
        <v>22</v>
      </c>
      <c r="H371" t="s">
        <v>606</v>
      </c>
      <c r="I371" t="s">
        <v>444</v>
      </c>
      <c r="J371">
        <v>1.46</v>
      </c>
      <c r="K371">
        <v>0.63800000000000001</v>
      </c>
      <c r="L371" s="7">
        <v>4.32</v>
      </c>
      <c r="M371">
        <v>4.4400000000000004</v>
      </c>
      <c r="N371">
        <v>4.74</v>
      </c>
      <c r="O371">
        <v>3.89</v>
      </c>
      <c r="P371">
        <f t="shared" si="5"/>
        <v>4.3475000000000001</v>
      </c>
      <c r="Q371">
        <v>5.3614444706211933E-2</v>
      </c>
      <c r="R371">
        <v>4.9364685502746163E-2</v>
      </c>
      <c r="S371">
        <v>0.81406504373378508</v>
      </c>
      <c r="T371">
        <v>0.74435385798436893</v>
      </c>
      <c r="U371">
        <v>1.3065836254859018</v>
      </c>
      <c r="V371">
        <v>0.12822055634173932</v>
      </c>
      <c r="W371">
        <v>512</v>
      </c>
      <c r="X371">
        <v>641</v>
      </c>
      <c r="Y371">
        <v>0.88508254716981127</v>
      </c>
      <c r="Z371">
        <v>5.3016222964852533E-2</v>
      </c>
      <c r="AB371">
        <v>12.935751874738813</v>
      </c>
      <c r="AC371">
        <v>11.57815455690781</v>
      </c>
      <c r="AD371">
        <v>8.8613957278104127</v>
      </c>
      <c r="AE371" t="s">
        <v>227</v>
      </c>
    </row>
    <row r="372" spans="1:31" x14ac:dyDescent="0.3">
      <c r="A372">
        <v>370</v>
      </c>
      <c r="B372" t="s">
        <v>219</v>
      </c>
      <c r="C372" t="s">
        <v>189</v>
      </c>
      <c r="D372">
        <v>2</v>
      </c>
      <c r="E372" s="7" t="s">
        <v>21</v>
      </c>
      <c r="F372">
        <v>14</v>
      </c>
      <c r="G372" t="s">
        <v>26</v>
      </c>
      <c r="H372" t="s">
        <v>607</v>
      </c>
      <c r="I372" t="s">
        <v>436</v>
      </c>
      <c r="J372">
        <v>1.55</v>
      </c>
      <c r="K372">
        <v>0.45900000000000002</v>
      </c>
      <c r="L372" s="7">
        <v>1.88</v>
      </c>
      <c r="M372">
        <v>1.87</v>
      </c>
      <c r="N372">
        <v>1.9</v>
      </c>
      <c r="O372">
        <v>2</v>
      </c>
      <c r="P372">
        <f t="shared" si="5"/>
        <v>1.9125000000000001</v>
      </c>
      <c r="Q372">
        <v>2.312701334651731E-2</v>
      </c>
      <c r="R372">
        <v>2.9743785188996424E-2</v>
      </c>
      <c r="S372">
        <v>0.61560579035232521</v>
      </c>
      <c r="T372">
        <v>0.97421111155038043</v>
      </c>
      <c r="U372">
        <v>1.5266037640558501</v>
      </c>
      <c r="V372">
        <v>1.1346921307571192E-2</v>
      </c>
      <c r="W372">
        <v>336</v>
      </c>
      <c r="X372">
        <v>621</v>
      </c>
      <c r="Y372">
        <v>0.59834043416514504</v>
      </c>
      <c r="Z372">
        <v>0.22305164776559111</v>
      </c>
      <c r="AB372">
        <v>58.913586689068431</v>
      </c>
      <c r="AC372">
        <v>52.730634729402382</v>
      </c>
      <c r="AD372">
        <v>34.541140255876677</v>
      </c>
      <c r="AE372" t="s">
        <v>227</v>
      </c>
    </row>
    <row r="373" spans="1:31" x14ac:dyDescent="0.3">
      <c r="A373">
        <v>371</v>
      </c>
      <c r="B373" t="s">
        <v>219</v>
      </c>
      <c r="C373" t="s">
        <v>189</v>
      </c>
      <c r="D373">
        <v>3</v>
      </c>
      <c r="E373" s="7" t="s">
        <v>21</v>
      </c>
      <c r="F373">
        <v>16</v>
      </c>
      <c r="G373" t="s">
        <v>192</v>
      </c>
      <c r="H373" t="s">
        <v>608</v>
      </c>
      <c r="I373" t="s">
        <v>442</v>
      </c>
      <c r="J373">
        <v>3.7639999999999998</v>
      </c>
      <c r="K373">
        <v>1.0329999999999999</v>
      </c>
      <c r="L373" s="7">
        <v>2</v>
      </c>
      <c r="M373">
        <v>2.44</v>
      </c>
      <c r="N373">
        <v>2.1800000000000002</v>
      </c>
      <c r="O373">
        <v>1.74</v>
      </c>
      <c r="P373">
        <f t="shared" si="5"/>
        <v>2.09</v>
      </c>
      <c r="Q373">
        <v>2.893623779497731E-2</v>
      </c>
      <c r="R373">
        <v>0.16643402835798998</v>
      </c>
      <c r="S373">
        <v>0.87067544593619439</v>
      </c>
      <c r="T373">
        <v>0.928285835651803</v>
      </c>
      <c r="U373">
        <v>0.77875787505704464</v>
      </c>
      <c r="V373">
        <v>3.2318276224693514E-2</v>
      </c>
      <c r="W373">
        <v>440</v>
      </c>
      <c r="X373">
        <v>662</v>
      </c>
      <c r="Y373">
        <v>0.73598036137356204</v>
      </c>
      <c r="Z373">
        <v>0.13313377406044241</v>
      </c>
      <c r="AB373">
        <v>30.531415709911677</v>
      </c>
      <c r="AC373">
        <v>27.327325416078494</v>
      </c>
      <c r="AD373">
        <v>35.09091373756798</v>
      </c>
      <c r="AE373" t="s">
        <v>227</v>
      </c>
    </row>
    <row r="374" spans="1:31" x14ac:dyDescent="0.3">
      <c r="A374">
        <v>372</v>
      </c>
      <c r="B374" t="s">
        <v>219</v>
      </c>
      <c r="C374" t="s">
        <v>189</v>
      </c>
      <c r="D374">
        <v>3</v>
      </c>
      <c r="E374" s="7" t="s">
        <v>21</v>
      </c>
      <c r="F374">
        <v>3</v>
      </c>
      <c r="G374" t="s">
        <v>27</v>
      </c>
      <c r="H374" t="s">
        <v>609</v>
      </c>
      <c r="I374" t="s">
        <v>440</v>
      </c>
      <c r="J374">
        <v>1.159</v>
      </c>
      <c r="K374">
        <v>0.27800000000000002</v>
      </c>
      <c r="L374" s="7">
        <v>1.67</v>
      </c>
      <c r="M374">
        <v>1.53</v>
      </c>
      <c r="N374">
        <v>1.1299999999999999</v>
      </c>
      <c r="O374">
        <v>1.18</v>
      </c>
      <c r="P374">
        <f t="shared" si="5"/>
        <v>1.3774999999999999</v>
      </c>
      <c r="Q374">
        <v>3.0055105656383103E-2</v>
      </c>
      <c r="R374">
        <v>6.2897590195115163E-2</v>
      </c>
      <c r="S374">
        <v>0.80176637320969346</v>
      </c>
      <c r="T374">
        <v>0.87742466561459331</v>
      </c>
      <c r="U374">
        <v>1.2013659934261507</v>
      </c>
      <c r="V374">
        <v>5.6790161144040709E-2</v>
      </c>
      <c r="W374">
        <v>439</v>
      </c>
      <c r="X374">
        <v>559</v>
      </c>
      <c r="Y374">
        <v>0.86984288000721355</v>
      </c>
      <c r="Z374">
        <v>6.0559187046058609E-2</v>
      </c>
      <c r="AB374">
        <v>14.283217682309511</v>
      </c>
      <c r="AC374">
        <v>12.784232397456304</v>
      </c>
      <c r="AD374">
        <v>10.641413580383791</v>
      </c>
      <c r="AE374" t="s">
        <v>227</v>
      </c>
    </row>
    <row r="375" spans="1:31" x14ac:dyDescent="0.3">
      <c r="A375">
        <v>373</v>
      </c>
      <c r="B375" t="s">
        <v>219</v>
      </c>
      <c r="C375" t="s">
        <v>189</v>
      </c>
      <c r="D375">
        <v>3</v>
      </c>
      <c r="E375" s="7" t="s">
        <v>21</v>
      </c>
      <c r="F375">
        <v>4</v>
      </c>
      <c r="G375" t="s">
        <v>28</v>
      </c>
      <c r="H375" t="s">
        <v>610</v>
      </c>
      <c r="I375" t="s">
        <v>438</v>
      </c>
      <c r="J375">
        <v>1.5089999999999999</v>
      </c>
      <c r="K375">
        <v>0.52700000000000002</v>
      </c>
      <c r="L375" s="7">
        <v>5.48</v>
      </c>
      <c r="M375">
        <v>3.68</v>
      </c>
      <c r="N375">
        <v>3.36</v>
      </c>
      <c r="O375">
        <v>3.27</v>
      </c>
      <c r="P375">
        <f t="shared" si="5"/>
        <v>3.9474999999999998</v>
      </c>
      <c r="Q375">
        <v>2.4964597313313758E-2</v>
      </c>
      <c r="R375">
        <v>7.1170766090680113E-2</v>
      </c>
      <c r="S375">
        <v>1.0436054480010302</v>
      </c>
      <c r="T375">
        <v>0.85422569413185467</v>
      </c>
      <c r="U375">
        <v>1.1476983593499139</v>
      </c>
      <c r="V375">
        <v>6.8427369631440346E-2</v>
      </c>
      <c r="W375">
        <v>613</v>
      </c>
      <c r="X375">
        <v>716</v>
      </c>
      <c r="Y375">
        <v>0.94913664951400789</v>
      </c>
      <c r="Z375">
        <v>2.2671256637428135E-2</v>
      </c>
      <c r="AB375">
        <v>8.1642275394590644</v>
      </c>
      <c r="AC375">
        <v>7.3072607639580269</v>
      </c>
      <c r="AD375">
        <v>6.3668826433602712</v>
      </c>
      <c r="AE375" t="s">
        <v>227</v>
      </c>
    </row>
    <row r="376" spans="1:31" x14ac:dyDescent="0.3">
      <c r="A376">
        <v>374</v>
      </c>
      <c r="B376" t="s">
        <v>219</v>
      </c>
      <c r="C376" t="s">
        <v>189</v>
      </c>
      <c r="D376">
        <v>3</v>
      </c>
      <c r="E376" s="7" t="s">
        <v>21</v>
      </c>
      <c r="F376">
        <v>6</v>
      </c>
      <c r="G376" t="s">
        <v>23</v>
      </c>
      <c r="H376" t="s">
        <v>611</v>
      </c>
      <c r="I376" t="s">
        <v>430</v>
      </c>
      <c r="J376">
        <v>0.76400000000000001</v>
      </c>
      <c r="K376">
        <v>0.246</v>
      </c>
      <c r="L376" s="7">
        <v>1.59</v>
      </c>
      <c r="M376">
        <v>1.93</v>
      </c>
      <c r="N376">
        <v>1.67</v>
      </c>
      <c r="O376">
        <v>1.92</v>
      </c>
      <c r="P376">
        <f t="shared" si="5"/>
        <v>1.7774999999999999</v>
      </c>
      <c r="Q376">
        <v>1.8554848216400147E-2</v>
      </c>
      <c r="R376">
        <v>5.4134785444691358E-2</v>
      </c>
      <c r="S376">
        <v>0.74440687415587437</v>
      </c>
      <c r="T376">
        <v>0.80197921366262759</v>
      </c>
      <c r="U376">
        <v>1.2665235801440942</v>
      </c>
      <c r="V376">
        <v>9.5836887960984121E-2</v>
      </c>
      <c r="W376">
        <v>520</v>
      </c>
      <c r="X376">
        <v>701</v>
      </c>
      <c r="Y376">
        <v>0.8219119496855346</v>
      </c>
      <c r="Z376">
        <v>8.5174705347925497E-2</v>
      </c>
      <c r="AB376">
        <v>19.127534572300888</v>
      </c>
      <c r="AC376">
        <v>17.120213559123311</v>
      </c>
      <c r="AD376">
        <v>13.517485049252317</v>
      </c>
      <c r="AE376" t="s">
        <v>227</v>
      </c>
    </row>
    <row r="377" spans="1:31" x14ac:dyDescent="0.3">
      <c r="A377">
        <v>375</v>
      </c>
      <c r="B377" t="s">
        <v>219</v>
      </c>
      <c r="C377" t="s">
        <v>189</v>
      </c>
      <c r="D377">
        <v>3</v>
      </c>
      <c r="E377" s="7" t="s">
        <v>21</v>
      </c>
      <c r="F377">
        <v>7</v>
      </c>
      <c r="G377" t="s">
        <v>22</v>
      </c>
      <c r="H377" t="s">
        <v>612</v>
      </c>
      <c r="I377" t="s">
        <v>444</v>
      </c>
      <c r="J377">
        <v>0.48499999999999999</v>
      </c>
      <c r="K377">
        <v>0.18</v>
      </c>
      <c r="L377" s="7">
        <v>6.46</v>
      </c>
      <c r="M377">
        <v>6.66</v>
      </c>
      <c r="N377">
        <v>4.58</v>
      </c>
      <c r="O377">
        <v>5.28</v>
      </c>
      <c r="P377">
        <f t="shared" si="5"/>
        <v>5.745000000000001</v>
      </c>
      <c r="Q377">
        <v>3.352663646893967E-2</v>
      </c>
      <c r="R377">
        <v>5.9108688935315637E-2</v>
      </c>
      <c r="S377">
        <v>0.73151342464420521</v>
      </c>
      <c r="T377">
        <v>0.90809709405749284</v>
      </c>
      <c r="U377">
        <v>1.2283486734454363</v>
      </c>
      <c r="V377">
        <v>4.1867714079094225E-2</v>
      </c>
      <c r="W377">
        <v>591</v>
      </c>
      <c r="X377">
        <v>742</v>
      </c>
      <c r="Y377">
        <v>0.88285760361232057</v>
      </c>
      <c r="Z377">
        <v>5.4109338271128238E-2</v>
      </c>
      <c r="AB377">
        <v>13.127043128174034</v>
      </c>
      <c r="AC377">
        <v>11.7493740930028</v>
      </c>
      <c r="AD377">
        <v>9.5651783137816953</v>
      </c>
      <c r="AE377" t="s">
        <v>227</v>
      </c>
    </row>
    <row r="378" spans="1:31" x14ac:dyDescent="0.3">
      <c r="A378">
        <v>376</v>
      </c>
      <c r="B378" t="s">
        <v>219</v>
      </c>
      <c r="C378" t="s">
        <v>189</v>
      </c>
      <c r="D378">
        <v>3</v>
      </c>
      <c r="E378" s="7" t="s">
        <v>21</v>
      </c>
      <c r="F378">
        <v>9</v>
      </c>
      <c r="G378" t="s">
        <v>26</v>
      </c>
      <c r="H378" t="s">
        <v>613</v>
      </c>
      <c r="I378" t="s">
        <v>436</v>
      </c>
      <c r="J378">
        <v>13.157999999999999</v>
      </c>
      <c r="K378">
        <v>0.20300000000000001</v>
      </c>
      <c r="L378" s="7">
        <v>1.6</v>
      </c>
      <c r="M378">
        <v>1.06</v>
      </c>
      <c r="N378">
        <v>1.3</v>
      </c>
      <c r="O378">
        <v>1.45</v>
      </c>
      <c r="P378">
        <f t="shared" si="5"/>
        <v>1.3525</v>
      </c>
      <c r="Q378">
        <v>4.2292454962381196E-2</v>
      </c>
      <c r="R378">
        <v>4.8348951233142333E-2</v>
      </c>
      <c r="S378">
        <v>0.66301271294302477</v>
      </c>
      <c r="T378">
        <v>0.90527941690394553</v>
      </c>
      <c r="U378">
        <v>1.3156129420277021</v>
      </c>
      <c r="V378">
        <v>4.321735395476678E-2</v>
      </c>
      <c r="W378">
        <v>388</v>
      </c>
      <c r="X378">
        <v>611</v>
      </c>
      <c r="Y378">
        <v>0.70283121971337248</v>
      </c>
      <c r="Z378">
        <v>0.15314895541791379</v>
      </c>
      <c r="AB378">
        <v>36.059009145949645</v>
      </c>
      <c r="AC378">
        <v>32.274795547764136</v>
      </c>
      <c r="AD378">
        <v>24.53213594723405</v>
      </c>
      <c r="AE378" t="s">
        <v>227</v>
      </c>
    </row>
    <row r="379" spans="1:31" x14ac:dyDescent="0.3">
      <c r="A379">
        <v>377</v>
      </c>
      <c r="B379" t="s">
        <v>219</v>
      </c>
      <c r="C379" t="s">
        <v>189</v>
      </c>
      <c r="D379">
        <v>3</v>
      </c>
      <c r="E379" s="7" t="s">
        <v>21</v>
      </c>
      <c r="F379">
        <v>14</v>
      </c>
      <c r="G379" t="s">
        <v>29</v>
      </c>
      <c r="H379" t="s">
        <v>614</v>
      </c>
      <c r="I379" t="s">
        <v>451</v>
      </c>
      <c r="J379">
        <v>0.49</v>
      </c>
      <c r="K379">
        <v>0.16300000000000001</v>
      </c>
      <c r="L379" s="7">
        <v>4.2</v>
      </c>
      <c r="M379">
        <v>3.83</v>
      </c>
      <c r="N379">
        <v>3.17</v>
      </c>
      <c r="O379">
        <v>3.05</v>
      </c>
      <c r="P379">
        <f t="shared" si="5"/>
        <v>3.5625</v>
      </c>
      <c r="Q379">
        <v>2.7378132682940075E-2</v>
      </c>
      <c r="R379">
        <v>4.6404850047194302E-2</v>
      </c>
      <c r="S379">
        <v>0.90162006071566259</v>
      </c>
      <c r="T379">
        <v>0.86339989573463993</v>
      </c>
      <c r="U379">
        <v>1.3334366263706343</v>
      </c>
      <c r="V379">
        <v>6.3788008125747531E-2</v>
      </c>
      <c r="W379">
        <v>482</v>
      </c>
      <c r="X379">
        <v>595</v>
      </c>
      <c r="Y379">
        <v>0.89752874658535031</v>
      </c>
      <c r="Z379">
        <v>4.6951632684508054E-2</v>
      </c>
      <c r="AB379">
        <v>11.898984028496081</v>
      </c>
      <c r="AC379">
        <v>10.650170659626633</v>
      </c>
      <c r="AD379">
        <v>7.9870092428872388</v>
      </c>
      <c r="AE379" t="s">
        <v>227</v>
      </c>
    </row>
    <row r="380" spans="1:31" x14ac:dyDescent="0.3">
      <c r="A380">
        <v>378</v>
      </c>
      <c r="B380" t="s">
        <v>219</v>
      </c>
      <c r="C380" t="s">
        <v>189</v>
      </c>
      <c r="D380">
        <v>3</v>
      </c>
      <c r="E380" s="7" t="s">
        <v>21</v>
      </c>
      <c r="F380">
        <v>16</v>
      </c>
      <c r="G380" t="s">
        <v>24</v>
      </c>
      <c r="H380" t="s">
        <v>615</v>
      </c>
      <c r="I380" t="s">
        <v>434</v>
      </c>
      <c r="J380">
        <v>2.1960000000000002</v>
      </c>
      <c r="K380">
        <v>0.68</v>
      </c>
      <c r="L380" s="7">
        <v>3.43</v>
      </c>
      <c r="M380">
        <v>4.5</v>
      </c>
      <c r="N380">
        <v>2.78</v>
      </c>
      <c r="O380">
        <v>2.73</v>
      </c>
      <c r="P380">
        <f t="shared" si="5"/>
        <v>3.36</v>
      </c>
      <c r="Q380">
        <v>3.1684960838931152E-2</v>
      </c>
      <c r="R380">
        <v>6.7351042840705103E-2</v>
      </c>
      <c r="S380">
        <v>0.76474572775257987</v>
      </c>
      <c r="T380">
        <v>0.85212714111280696</v>
      </c>
      <c r="U380">
        <v>1.1716556754204694</v>
      </c>
      <c r="V380">
        <v>6.9495601754163389E-2</v>
      </c>
      <c r="W380">
        <v>444</v>
      </c>
      <c r="X380">
        <v>578</v>
      </c>
      <c r="Y380">
        <v>0.85082458607196187</v>
      </c>
      <c r="Z380">
        <v>7.0159968885541241E-2</v>
      </c>
      <c r="AB380">
        <v>16.091238678154721</v>
      </c>
      <c r="AC380">
        <v>14.402534230767746</v>
      </c>
      <c r="AD380">
        <v>12.292463163803768</v>
      </c>
      <c r="AE380" t="s">
        <v>227</v>
      </c>
    </row>
    <row r="381" spans="1:31" x14ac:dyDescent="0.3">
      <c r="A381">
        <v>379</v>
      </c>
      <c r="B381" t="s">
        <v>219</v>
      </c>
      <c r="C381" t="s">
        <v>189</v>
      </c>
      <c r="D381">
        <v>4</v>
      </c>
      <c r="E381" s="7" t="s">
        <v>21</v>
      </c>
      <c r="F381">
        <v>1</v>
      </c>
      <c r="G381" t="s">
        <v>27</v>
      </c>
      <c r="H381" t="s">
        <v>616</v>
      </c>
      <c r="I381" t="s">
        <v>440</v>
      </c>
      <c r="J381">
        <v>0.55100000000000005</v>
      </c>
      <c r="K381">
        <v>0.193</v>
      </c>
      <c r="L381" s="7">
        <v>2.8</v>
      </c>
      <c r="M381">
        <v>3</v>
      </c>
      <c r="N381">
        <v>3.01</v>
      </c>
      <c r="O381">
        <v>2.98</v>
      </c>
      <c r="P381">
        <f t="shared" si="5"/>
        <v>2.9474999999999998</v>
      </c>
      <c r="Q381">
        <v>2.3073753008225801E-2</v>
      </c>
      <c r="R381">
        <v>4.582213396900775E-2</v>
      </c>
      <c r="S381">
        <v>0.70497784661688823</v>
      </c>
      <c r="T381">
        <v>0.8643229378240479</v>
      </c>
      <c r="U381">
        <v>1.3389246892761697</v>
      </c>
      <c r="V381">
        <v>6.3323961328023037E-2</v>
      </c>
      <c r="W381">
        <v>475</v>
      </c>
      <c r="X381">
        <v>662</v>
      </c>
      <c r="Y381">
        <v>0.79479157746505669</v>
      </c>
      <c r="Z381">
        <v>9.9746743826730405E-2</v>
      </c>
      <c r="AB381">
        <v>22.317780767016671</v>
      </c>
      <c r="AC381">
        <v>19.975675094243083</v>
      </c>
      <c r="AD381">
        <v>14.919192434222754</v>
      </c>
      <c r="AE381" t="s">
        <v>227</v>
      </c>
    </row>
    <row r="382" spans="1:31" x14ac:dyDescent="0.3">
      <c r="A382">
        <v>380</v>
      </c>
      <c r="B382" t="s">
        <v>219</v>
      </c>
      <c r="C382" t="s">
        <v>189</v>
      </c>
      <c r="D382">
        <v>4</v>
      </c>
      <c r="E382" s="7" t="s">
        <v>21</v>
      </c>
      <c r="F382">
        <v>3</v>
      </c>
      <c r="G382" t="s">
        <v>28</v>
      </c>
      <c r="H382" t="s">
        <v>617</v>
      </c>
      <c r="I382" t="s">
        <v>438</v>
      </c>
      <c r="J382">
        <v>1.6830000000000001</v>
      </c>
      <c r="K382">
        <v>0.67300000000000004</v>
      </c>
      <c r="L382" s="7">
        <v>6.76</v>
      </c>
      <c r="M382">
        <v>6.29</v>
      </c>
      <c r="N382">
        <v>6.33</v>
      </c>
      <c r="O382">
        <v>6.87</v>
      </c>
      <c r="P382">
        <f t="shared" si="5"/>
        <v>6.5625000000000009</v>
      </c>
      <c r="Q382">
        <v>2.7801270071941234E-2</v>
      </c>
      <c r="R382">
        <v>3.9260802505108064E-2</v>
      </c>
      <c r="S382">
        <v>0.87941685797633229</v>
      </c>
      <c r="T382">
        <v>0.70448435826735611</v>
      </c>
      <c r="U382">
        <v>1.406040827507838</v>
      </c>
      <c r="V382">
        <v>0.15212864512891605</v>
      </c>
      <c r="W382">
        <v>501</v>
      </c>
      <c r="X382">
        <v>580</v>
      </c>
      <c r="Y382">
        <v>0.95722835945731632</v>
      </c>
      <c r="Z382">
        <v>1.8984443182947994E-2</v>
      </c>
      <c r="AB382">
        <v>7.6553578001827098</v>
      </c>
      <c r="AC382">
        <v>6.851776942737871</v>
      </c>
      <c r="AD382">
        <v>4.8730995634617695</v>
      </c>
      <c r="AE382" t="s">
        <v>227</v>
      </c>
    </row>
    <row r="383" spans="1:31" x14ac:dyDescent="0.3">
      <c r="A383">
        <v>381</v>
      </c>
      <c r="B383" t="s">
        <v>219</v>
      </c>
      <c r="C383" t="s">
        <v>189</v>
      </c>
      <c r="D383">
        <v>4</v>
      </c>
      <c r="E383" s="7" t="s">
        <v>21</v>
      </c>
      <c r="F383">
        <v>5</v>
      </c>
      <c r="G383" t="s">
        <v>22</v>
      </c>
      <c r="H383" t="s">
        <v>618</v>
      </c>
      <c r="I383" t="s">
        <v>444</v>
      </c>
      <c r="J383">
        <v>1.4870000000000001</v>
      </c>
      <c r="K383">
        <v>0.63100000000000001</v>
      </c>
      <c r="L383" s="7">
        <v>5.24</v>
      </c>
      <c r="M383">
        <v>5.4</v>
      </c>
      <c r="N383">
        <v>4.38</v>
      </c>
      <c r="O383">
        <v>4.87</v>
      </c>
      <c r="P383">
        <f t="shared" si="5"/>
        <v>4.9725000000000001</v>
      </c>
      <c r="Q383">
        <v>2.8102811834260603E-2</v>
      </c>
      <c r="R383">
        <v>0.10102523121056997</v>
      </c>
      <c r="S383">
        <v>0.83316285170941295</v>
      </c>
      <c r="T383">
        <v>0.92111876067211695</v>
      </c>
      <c r="U383">
        <v>0.9955701469396594</v>
      </c>
      <c r="V383">
        <v>3.5684372214135555E-2</v>
      </c>
      <c r="W383">
        <v>453</v>
      </c>
      <c r="X383">
        <v>643</v>
      </c>
      <c r="Y383">
        <v>0.78025235604145848</v>
      </c>
      <c r="Z383">
        <v>0.10776491126979444</v>
      </c>
      <c r="AB383">
        <v>24.175481446683374</v>
      </c>
      <c r="AC383">
        <v>21.638423421802653</v>
      </c>
      <c r="AD383">
        <v>21.734704971134633</v>
      </c>
      <c r="AE383" t="s">
        <v>227</v>
      </c>
    </row>
    <row r="384" spans="1:31" x14ac:dyDescent="0.3">
      <c r="A384">
        <v>382</v>
      </c>
      <c r="B384" t="s">
        <v>219</v>
      </c>
      <c r="C384" t="s">
        <v>189</v>
      </c>
      <c r="D384">
        <v>4</v>
      </c>
      <c r="E384" s="7" t="s">
        <v>21</v>
      </c>
      <c r="F384">
        <v>10</v>
      </c>
      <c r="G384" t="s">
        <v>26</v>
      </c>
      <c r="H384" t="s">
        <v>619</v>
      </c>
      <c r="I384" t="s">
        <v>436</v>
      </c>
      <c r="J384">
        <v>1.302</v>
      </c>
      <c r="K384">
        <v>0.377</v>
      </c>
      <c r="L384">
        <v>0.96</v>
      </c>
      <c r="M384">
        <v>1.26</v>
      </c>
      <c r="N384">
        <v>1.31</v>
      </c>
      <c r="O384">
        <v>1.1399999999999999</v>
      </c>
      <c r="P384">
        <f t="shared" si="5"/>
        <v>1.1675</v>
      </c>
      <c r="Q384">
        <v>2.4336117940391176E-2</v>
      </c>
      <c r="R384">
        <v>3.1037998064352913E-2</v>
      </c>
      <c r="S384">
        <v>0.59794737577103874</v>
      </c>
      <c r="T384">
        <v>0.98348698783174204</v>
      </c>
      <c r="U384">
        <v>1.5081062982915214</v>
      </c>
      <c r="V384">
        <v>7.2313817032166917E-3</v>
      </c>
      <c r="W384">
        <v>362</v>
      </c>
      <c r="X384">
        <v>594</v>
      </c>
      <c r="Y384">
        <v>0.67428171434025896</v>
      </c>
      <c r="Z384">
        <v>0.17115861767587706</v>
      </c>
      <c r="AB384">
        <v>41.419466767786638</v>
      </c>
      <c r="AC384">
        <v>37.072655518226128</v>
      </c>
      <c r="AD384">
        <v>24.582256277441708</v>
      </c>
      <c r="AE384" t="s">
        <v>227</v>
      </c>
    </row>
    <row r="385" spans="1:31" x14ac:dyDescent="0.3">
      <c r="A385">
        <v>383</v>
      </c>
      <c r="B385" t="s">
        <v>219</v>
      </c>
      <c r="C385" t="s">
        <v>189</v>
      </c>
      <c r="D385">
        <v>4</v>
      </c>
      <c r="E385" s="7" t="s">
        <v>21</v>
      </c>
      <c r="F385">
        <v>11</v>
      </c>
      <c r="G385" t="s">
        <v>25</v>
      </c>
      <c r="H385" t="s">
        <v>620</v>
      </c>
      <c r="I385" t="s">
        <v>432</v>
      </c>
      <c r="J385">
        <v>1.4330000000000001</v>
      </c>
      <c r="K385">
        <v>0.33600000000000002</v>
      </c>
      <c r="L385">
        <v>0.93</v>
      </c>
      <c r="M385">
        <v>1.1599999999999999</v>
      </c>
      <c r="N385">
        <v>0.85</v>
      </c>
      <c r="O385">
        <v>0.73</v>
      </c>
      <c r="P385">
        <f t="shared" si="5"/>
        <v>0.91749999999999998</v>
      </c>
      <c r="Q385">
        <v>8.2151701886946205E-2</v>
      </c>
      <c r="R385">
        <v>0.19306577796169463</v>
      </c>
      <c r="S385">
        <v>0.85141256014174171</v>
      </c>
      <c r="T385">
        <v>0.9525754536495179</v>
      </c>
      <c r="U385">
        <v>0.71429470063564982</v>
      </c>
      <c r="V385">
        <v>2.1100613756523747E-2</v>
      </c>
      <c r="W385">
        <v>524</v>
      </c>
      <c r="X385">
        <v>704</v>
      </c>
      <c r="Y385">
        <v>0.82472422770337361</v>
      </c>
      <c r="Z385">
        <v>8.3691247096463542E-2</v>
      </c>
      <c r="AB385">
        <v>18.816212402363991</v>
      </c>
      <c r="AC385">
        <v>16.841560887305782</v>
      </c>
      <c r="AD385">
        <v>23.577888611407172</v>
      </c>
      <c r="AE385" t="s">
        <v>227</v>
      </c>
    </row>
    <row r="386" spans="1:31" x14ac:dyDescent="0.3">
      <c r="A386">
        <v>384</v>
      </c>
      <c r="B386" t="s">
        <v>219</v>
      </c>
      <c r="C386" t="s">
        <v>189</v>
      </c>
      <c r="D386">
        <v>4</v>
      </c>
      <c r="E386" s="7" t="s">
        <v>21</v>
      </c>
      <c r="F386">
        <v>15</v>
      </c>
      <c r="G386" t="s">
        <v>24</v>
      </c>
      <c r="H386" t="s">
        <v>621</v>
      </c>
      <c r="I386" t="s">
        <v>434</v>
      </c>
      <c r="J386">
        <v>1.2070000000000001</v>
      </c>
      <c r="K386">
        <v>0.52800000000000002</v>
      </c>
      <c r="L386">
        <v>3.42</v>
      </c>
      <c r="M386">
        <v>3.68</v>
      </c>
      <c r="N386">
        <v>2.92</v>
      </c>
      <c r="O386">
        <v>2.75</v>
      </c>
      <c r="P386">
        <f t="shared" si="5"/>
        <v>3.1924999999999999</v>
      </c>
      <c r="Q386">
        <v>2.9853497620504373E-2</v>
      </c>
      <c r="R386">
        <v>5.9191914561163225E-2</v>
      </c>
      <c r="S386">
        <v>0.87288477232726669</v>
      </c>
      <c r="T386">
        <v>0.87865355170088832</v>
      </c>
      <c r="U386">
        <v>1.2277376125555808</v>
      </c>
      <c r="V386">
        <v>5.6182331119134427E-2</v>
      </c>
      <c r="W386">
        <v>485</v>
      </c>
      <c r="X386">
        <v>664</v>
      </c>
      <c r="Y386">
        <v>0.80914653234298073</v>
      </c>
      <c r="Z386">
        <v>9.1972822732162687E-2</v>
      </c>
      <c r="AB386">
        <v>20.585997320770126</v>
      </c>
      <c r="AC386">
        <v>18.42562661601692</v>
      </c>
      <c r="AD386">
        <v>15.007788657434144</v>
      </c>
      <c r="AE386" t="s">
        <v>227</v>
      </c>
    </row>
    <row r="387" spans="1:31" x14ac:dyDescent="0.3">
      <c r="A387">
        <v>385</v>
      </c>
      <c r="B387" t="s">
        <v>219</v>
      </c>
      <c r="C387" t="s">
        <v>189</v>
      </c>
      <c r="D387">
        <v>4</v>
      </c>
      <c r="E387" s="7" t="s">
        <v>21</v>
      </c>
      <c r="F387">
        <v>16</v>
      </c>
      <c r="G387" t="s">
        <v>23</v>
      </c>
      <c r="H387" t="s">
        <v>622</v>
      </c>
      <c r="I387" t="s">
        <v>430</v>
      </c>
      <c r="J387">
        <v>0.17299999999999999</v>
      </c>
      <c r="K387">
        <v>5.2999999999999999E-2</v>
      </c>
      <c r="L387">
        <v>1.95</v>
      </c>
      <c r="M387">
        <v>1.55</v>
      </c>
      <c r="N387">
        <v>3.17</v>
      </c>
      <c r="O387">
        <v>2.95</v>
      </c>
      <c r="P387">
        <f t="shared" si="5"/>
        <v>2.4050000000000002</v>
      </c>
      <c r="Q387">
        <v>4.5021818189723672E-2</v>
      </c>
      <c r="R387">
        <v>6.2075996128705825E-2</v>
      </c>
      <c r="S387">
        <v>0.70484955886566458</v>
      </c>
      <c r="T387">
        <v>0.82570832668226479</v>
      </c>
      <c r="U387">
        <v>1.2070763026275402</v>
      </c>
      <c r="V387">
        <v>8.3173335830481893E-2</v>
      </c>
      <c r="W387">
        <v>321</v>
      </c>
      <c r="X387">
        <v>512</v>
      </c>
      <c r="Y387">
        <v>0.69336730298219051</v>
      </c>
      <c r="Z387">
        <v>0.15903664215643332</v>
      </c>
      <c r="AB387">
        <v>37.771136126048113</v>
      </c>
      <c r="AC387">
        <v>33.807230653898074</v>
      </c>
      <c r="AD387">
        <v>28.00753405588955</v>
      </c>
      <c r="AE387" t="s">
        <v>227</v>
      </c>
    </row>
    <row r="388" spans="1:31" x14ac:dyDescent="0.3">
      <c r="A388">
        <v>386</v>
      </c>
      <c r="B388" t="s">
        <v>220</v>
      </c>
      <c r="C388" t="s">
        <v>189</v>
      </c>
      <c r="D388">
        <v>1</v>
      </c>
      <c r="E388" s="7" t="s">
        <v>21</v>
      </c>
      <c r="F388">
        <v>2</v>
      </c>
      <c r="G388" t="s">
        <v>28</v>
      </c>
      <c r="H388" t="s">
        <v>623</v>
      </c>
      <c r="I388" t="s">
        <v>438</v>
      </c>
      <c r="J388">
        <v>2.82</v>
      </c>
      <c r="K388">
        <v>0.85499999999999998</v>
      </c>
      <c r="L388">
        <v>3.23</v>
      </c>
      <c r="M388">
        <v>4.6399999999999997</v>
      </c>
      <c r="N388">
        <v>3.37</v>
      </c>
      <c r="O388">
        <v>3.81</v>
      </c>
      <c r="P388">
        <f t="shared" ref="P388:P451" si="6">AVERAGE(L388:O388)</f>
        <v>3.7624999999999997</v>
      </c>
      <c r="Q388">
        <v>2.932696938097766E-2</v>
      </c>
      <c r="R388">
        <v>5.516849377473701E-2</v>
      </c>
      <c r="S388">
        <v>0.80869912947183864</v>
      </c>
      <c r="T388">
        <v>0.86080355542061204</v>
      </c>
      <c r="U388">
        <v>1.2583088731067873</v>
      </c>
      <c r="V388">
        <v>6.509594788544186E-2</v>
      </c>
      <c r="W388">
        <v>484</v>
      </c>
      <c r="X388">
        <v>632</v>
      </c>
      <c r="Y388">
        <v>0.85309734513274327</v>
      </c>
      <c r="Z388">
        <v>6.9001409580588993E-2</v>
      </c>
      <c r="AB388">
        <v>15.867535155654203</v>
      </c>
      <c r="AC388">
        <v>14.20230467526822</v>
      </c>
      <c r="AD388">
        <v>11.286819141791851</v>
      </c>
    </row>
    <row r="389" spans="1:31" x14ac:dyDescent="0.3">
      <c r="A389">
        <v>387</v>
      </c>
      <c r="B389" t="s">
        <v>220</v>
      </c>
      <c r="C389" t="s">
        <v>189</v>
      </c>
      <c r="D389">
        <v>1</v>
      </c>
      <c r="E389" s="7" t="s">
        <v>21</v>
      </c>
      <c r="F389">
        <v>4</v>
      </c>
      <c r="G389" t="s">
        <v>24</v>
      </c>
      <c r="H389" t="s">
        <v>624</v>
      </c>
      <c r="I389" t="s">
        <v>434</v>
      </c>
      <c r="J389">
        <v>1.07</v>
      </c>
      <c r="K389">
        <v>0.40600000000000003</v>
      </c>
      <c r="L389">
        <v>3.13</v>
      </c>
      <c r="M389">
        <v>4.37</v>
      </c>
      <c r="N389">
        <v>3.51</v>
      </c>
      <c r="O389">
        <v>4.2</v>
      </c>
      <c r="P389">
        <f t="shared" si="6"/>
        <v>3.8025000000000002</v>
      </c>
      <c r="Q389">
        <v>3.1302681002432997E-2</v>
      </c>
      <c r="R389">
        <v>8.987348609919564E-2</v>
      </c>
      <c r="S389">
        <v>0.82766553715489322</v>
      </c>
      <c r="T389">
        <v>0.8295445784029033</v>
      </c>
      <c r="U389">
        <v>1.04636841215068</v>
      </c>
      <c r="V389">
        <v>8.1160270719558156E-2</v>
      </c>
      <c r="W389">
        <v>551</v>
      </c>
      <c r="X389">
        <v>699</v>
      </c>
      <c r="Y389">
        <v>0.87827731999339775</v>
      </c>
      <c r="Z389">
        <v>5.6368332013774336E-2</v>
      </c>
      <c r="AB389">
        <v>13.526635203292797</v>
      </c>
      <c r="AC389">
        <v>12.107037694197535</v>
      </c>
      <c r="AD389">
        <v>11.570530564194906</v>
      </c>
    </row>
    <row r="390" spans="1:31" x14ac:dyDescent="0.3">
      <c r="A390">
        <v>388</v>
      </c>
      <c r="B390" t="s">
        <v>220</v>
      </c>
      <c r="C390" t="s">
        <v>189</v>
      </c>
      <c r="D390">
        <v>1</v>
      </c>
      <c r="E390" s="7" t="s">
        <v>21</v>
      </c>
      <c r="F390">
        <v>8</v>
      </c>
      <c r="G390" t="s">
        <v>23</v>
      </c>
      <c r="H390" t="s">
        <v>625</v>
      </c>
      <c r="I390" t="s">
        <v>430</v>
      </c>
      <c r="J390">
        <v>1.196</v>
      </c>
      <c r="K390">
        <v>0.37</v>
      </c>
      <c r="L390">
        <v>1.84</v>
      </c>
      <c r="M390" s="8">
        <v>2.2400000000000002</v>
      </c>
      <c r="N390" s="8">
        <v>2.2000000000000002</v>
      </c>
      <c r="O390" s="8">
        <v>1.98</v>
      </c>
      <c r="P390">
        <f t="shared" si="6"/>
        <v>2.0649999999999999</v>
      </c>
      <c r="Q390">
        <v>3.1657106128759133E-2</v>
      </c>
      <c r="R390">
        <v>6.2033162195872724E-2</v>
      </c>
      <c r="S390">
        <v>0.66709296003987417</v>
      </c>
      <c r="T390">
        <v>0.92409127933290913</v>
      </c>
      <c r="U390">
        <v>1.207376079721469</v>
      </c>
      <c r="V390">
        <v>3.4285128181779138E-2</v>
      </c>
      <c r="W390">
        <v>410</v>
      </c>
      <c r="X390">
        <v>623</v>
      </c>
      <c r="Y390">
        <v>0.73258945748364757</v>
      </c>
      <c r="Z390">
        <v>0.13513933545255705</v>
      </c>
      <c r="AB390">
        <v>31.06489433413158</v>
      </c>
      <c r="AC390">
        <v>27.804816037799206</v>
      </c>
      <c r="AD390">
        <v>23.029126139565008</v>
      </c>
    </row>
    <row r="391" spans="1:31" x14ac:dyDescent="0.3">
      <c r="A391">
        <v>389</v>
      </c>
      <c r="B391" t="s">
        <v>220</v>
      </c>
      <c r="C391" t="s">
        <v>189</v>
      </c>
      <c r="D391">
        <v>1</v>
      </c>
      <c r="E391" s="7" t="s">
        <v>21</v>
      </c>
      <c r="F391">
        <v>10</v>
      </c>
      <c r="G391" t="s">
        <v>29</v>
      </c>
      <c r="H391" t="s">
        <v>626</v>
      </c>
      <c r="I391" t="s">
        <v>451</v>
      </c>
      <c r="J391">
        <v>0.81100000000000005</v>
      </c>
      <c r="K391">
        <v>0.27300000000000002</v>
      </c>
      <c r="L391">
        <v>2.15</v>
      </c>
      <c r="M391" s="8">
        <v>2.84</v>
      </c>
      <c r="N391" s="8">
        <v>2.81</v>
      </c>
      <c r="O391" s="8">
        <v>3.21</v>
      </c>
      <c r="P391">
        <f t="shared" si="6"/>
        <v>2.7525000000000004</v>
      </c>
      <c r="Q391">
        <v>3.5424037121875585E-2</v>
      </c>
      <c r="R391">
        <v>4.1699607139629925E-2</v>
      </c>
      <c r="S391">
        <v>0.74013986577722246</v>
      </c>
      <c r="T391">
        <v>0.88759410864898225</v>
      </c>
      <c r="U391">
        <v>1.3798680365824676</v>
      </c>
      <c r="V391">
        <v>5.1785589033234769E-2</v>
      </c>
      <c r="W391">
        <v>498</v>
      </c>
      <c r="X391">
        <v>691</v>
      </c>
      <c r="Y391">
        <v>0.80270239027961521</v>
      </c>
      <c r="Z391">
        <v>9.5445443783285164E-2</v>
      </c>
      <c r="AB391">
        <v>21.351152224038628</v>
      </c>
      <c r="AC391">
        <v>19.110485865308444</v>
      </c>
      <c r="AD391">
        <v>13.849502531154767</v>
      </c>
    </row>
    <row r="392" spans="1:31" x14ac:dyDescent="0.3">
      <c r="A392">
        <v>390</v>
      </c>
      <c r="B392" t="s">
        <v>220</v>
      </c>
      <c r="C392" t="s">
        <v>189</v>
      </c>
      <c r="D392">
        <v>1</v>
      </c>
      <c r="E392" s="7" t="s">
        <v>21</v>
      </c>
      <c r="F392">
        <v>14</v>
      </c>
      <c r="G392" t="s">
        <v>27</v>
      </c>
      <c r="H392" t="s">
        <v>627</v>
      </c>
      <c r="I392" t="s">
        <v>440</v>
      </c>
      <c r="J392">
        <v>0.93899999999999995</v>
      </c>
      <c r="K392">
        <v>0.2</v>
      </c>
      <c r="L392">
        <v>1.19</v>
      </c>
      <c r="M392" s="8">
        <v>1.06</v>
      </c>
      <c r="N392" s="8">
        <v>1.1499999999999999</v>
      </c>
      <c r="O392" s="8">
        <v>1.02</v>
      </c>
      <c r="P392">
        <f t="shared" si="6"/>
        <v>1.105</v>
      </c>
      <c r="Q392">
        <v>2.9341818479398405E-2</v>
      </c>
      <c r="R392">
        <v>7.1185868398907198E-2</v>
      </c>
      <c r="S392">
        <v>0.79110019473564375</v>
      </c>
      <c r="T392">
        <v>0.79822877953901139</v>
      </c>
      <c r="U392">
        <v>1.1476062126203266</v>
      </c>
      <c r="V392">
        <v>9.7872618108417103E-2</v>
      </c>
      <c r="W392">
        <v>522</v>
      </c>
      <c r="X392">
        <v>672</v>
      </c>
      <c r="Y392">
        <v>0.865407475894862</v>
      </c>
      <c r="Z392">
        <v>6.2779357431884078E-2</v>
      </c>
      <c r="AB392">
        <v>14.692066953485128</v>
      </c>
      <c r="AC392">
        <v>13.150180856421995</v>
      </c>
      <c r="AD392">
        <v>11.458791972201176</v>
      </c>
    </row>
    <row r="393" spans="1:31" x14ac:dyDescent="0.3">
      <c r="A393">
        <v>391</v>
      </c>
      <c r="B393" t="s">
        <v>220</v>
      </c>
      <c r="C393" t="s">
        <v>189</v>
      </c>
      <c r="D393">
        <v>1</v>
      </c>
      <c r="E393" s="7" t="s">
        <v>21</v>
      </c>
      <c r="F393">
        <v>16</v>
      </c>
      <c r="G393" t="s">
        <v>22</v>
      </c>
      <c r="H393" t="s">
        <v>628</v>
      </c>
      <c r="I393" t="s">
        <v>444</v>
      </c>
      <c r="J393">
        <v>1.3640000000000001</v>
      </c>
      <c r="K393">
        <v>0.6</v>
      </c>
      <c r="L393">
        <v>4.13</v>
      </c>
      <c r="M393" s="8">
        <v>3.63</v>
      </c>
      <c r="N393" s="8">
        <v>4.54</v>
      </c>
      <c r="O393" s="8">
        <v>4.2300000000000004</v>
      </c>
      <c r="P393">
        <f t="shared" si="6"/>
        <v>4.1325000000000003</v>
      </c>
      <c r="Q393">
        <v>4.074615808369584E-2</v>
      </c>
      <c r="R393">
        <v>4.3935028152450525E-2</v>
      </c>
      <c r="S393">
        <v>0.91557284563932739</v>
      </c>
      <c r="T393">
        <v>0.75424451949389293</v>
      </c>
      <c r="U393">
        <v>1.3571890909777538</v>
      </c>
      <c r="V393">
        <v>0.12248783682046842</v>
      </c>
      <c r="W393">
        <v>493</v>
      </c>
      <c r="X393">
        <v>596</v>
      </c>
      <c r="Y393">
        <v>0.92169482434969152</v>
      </c>
      <c r="Z393">
        <v>3.5412851224081936E-2</v>
      </c>
      <c r="AB393">
        <v>10.041086351414185</v>
      </c>
      <c r="AC393">
        <v>8.987207494611912</v>
      </c>
      <c r="AD393">
        <v>6.6219273013293218</v>
      </c>
    </row>
    <row r="394" spans="1:31" x14ac:dyDescent="0.3">
      <c r="A394">
        <v>392</v>
      </c>
      <c r="B394" t="s">
        <v>220</v>
      </c>
      <c r="C394" t="s">
        <v>189</v>
      </c>
      <c r="D394">
        <v>2</v>
      </c>
      <c r="E394" s="7" t="s">
        <v>21</v>
      </c>
      <c r="F394">
        <v>10</v>
      </c>
      <c r="G394" t="s">
        <v>24</v>
      </c>
      <c r="H394" t="s">
        <v>629</v>
      </c>
      <c r="I394" t="s">
        <v>434</v>
      </c>
      <c r="J394">
        <v>1.173</v>
      </c>
      <c r="K394">
        <v>0.50800000000000001</v>
      </c>
      <c r="L394">
        <v>6.95</v>
      </c>
      <c r="M394" s="8">
        <v>3.87</v>
      </c>
      <c r="N394" s="8">
        <v>5.63</v>
      </c>
      <c r="O394" s="8">
        <v>6.31</v>
      </c>
      <c r="P394">
        <f t="shared" si="6"/>
        <v>5.6899999999999995</v>
      </c>
      <c r="Q394">
        <v>2.932696938097766E-2</v>
      </c>
      <c r="R394">
        <v>5.516849377473701E-2</v>
      </c>
      <c r="S394">
        <v>0.80869912947183864</v>
      </c>
      <c r="T394">
        <v>0.86080355542061204</v>
      </c>
      <c r="U394">
        <v>1.2583088731067873</v>
      </c>
      <c r="V394">
        <v>6.509594788544186E-2</v>
      </c>
      <c r="W394">
        <v>484</v>
      </c>
      <c r="X394">
        <v>632</v>
      </c>
      <c r="Y394">
        <v>0.85309734513274327</v>
      </c>
      <c r="Z394">
        <v>6.9001409580588993E-2</v>
      </c>
      <c r="AB394">
        <v>15.867535155654203</v>
      </c>
      <c r="AC394">
        <v>14.20230467526822</v>
      </c>
      <c r="AD394">
        <v>11.286819141791851</v>
      </c>
    </row>
    <row r="395" spans="1:31" x14ac:dyDescent="0.3">
      <c r="A395">
        <v>393</v>
      </c>
      <c r="B395" t="s">
        <v>220</v>
      </c>
      <c r="C395" t="s">
        <v>189</v>
      </c>
      <c r="D395">
        <v>2</v>
      </c>
      <c r="E395" s="7" t="s">
        <v>21</v>
      </c>
      <c r="F395">
        <v>11</v>
      </c>
      <c r="G395" t="s">
        <v>22</v>
      </c>
      <c r="H395" t="s">
        <v>630</v>
      </c>
      <c r="I395" t="s">
        <v>444</v>
      </c>
      <c r="J395">
        <v>1.1659999999999999</v>
      </c>
      <c r="K395">
        <v>0.50900000000000001</v>
      </c>
      <c r="L395">
        <v>4.12</v>
      </c>
      <c r="M395" s="8">
        <v>4.91</v>
      </c>
      <c r="N395" s="8">
        <v>4.9400000000000004</v>
      </c>
      <c r="O395" s="8">
        <v>5.26</v>
      </c>
      <c r="P395">
        <f t="shared" si="6"/>
        <v>4.807500000000001</v>
      </c>
      <c r="Q395">
        <v>2.8522310658587086E-2</v>
      </c>
      <c r="R395">
        <v>0.14498559290308677</v>
      </c>
      <c r="S395">
        <v>0.88930997954412627</v>
      </c>
      <c r="T395">
        <v>0.89266800789811895</v>
      </c>
      <c r="U395">
        <v>0.83867515109986612</v>
      </c>
      <c r="V395">
        <v>4.9310029516807748E-2</v>
      </c>
      <c r="W395">
        <v>540</v>
      </c>
      <c r="X395">
        <v>748</v>
      </c>
      <c r="Y395">
        <v>0.80414719210420182</v>
      </c>
      <c r="Z395">
        <v>9.4664450172136413E-2</v>
      </c>
      <c r="AB395">
        <v>21.177881513218082</v>
      </c>
      <c r="AC395">
        <v>18.955398309413582</v>
      </c>
      <c r="AD395">
        <v>22.601597632354853</v>
      </c>
    </row>
    <row r="396" spans="1:31" x14ac:dyDescent="0.3">
      <c r="A396">
        <v>394</v>
      </c>
      <c r="B396" t="s">
        <v>220</v>
      </c>
      <c r="C396" t="s">
        <v>189</v>
      </c>
      <c r="D396">
        <v>2</v>
      </c>
      <c r="E396" s="7" t="s">
        <v>21</v>
      </c>
      <c r="F396">
        <v>12</v>
      </c>
      <c r="G396" t="s">
        <v>28</v>
      </c>
      <c r="H396" t="s">
        <v>631</v>
      </c>
      <c r="I396" t="s">
        <v>438</v>
      </c>
      <c r="J396">
        <v>1.2729999999999999</v>
      </c>
      <c r="K396">
        <v>0.36099999999999999</v>
      </c>
      <c r="L396">
        <v>4.1900000000000004</v>
      </c>
      <c r="M396" s="8">
        <v>3.49</v>
      </c>
      <c r="N396" s="8">
        <v>2.72</v>
      </c>
      <c r="O396" s="8">
        <v>3.37</v>
      </c>
      <c r="P396">
        <f t="shared" si="6"/>
        <v>3.4424999999999999</v>
      </c>
      <c r="Q396">
        <v>3.1302681002432997E-2</v>
      </c>
      <c r="R396">
        <v>8.987348609919564E-2</v>
      </c>
      <c r="S396">
        <v>0.82766553715489322</v>
      </c>
      <c r="T396">
        <v>0.8295445784029033</v>
      </c>
      <c r="U396">
        <v>1.04636841215068</v>
      </c>
      <c r="V396">
        <v>8.1160270719558156E-2</v>
      </c>
      <c r="W396">
        <v>551</v>
      </c>
      <c r="X396">
        <v>699</v>
      </c>
      <c r="Y396">
        <v>0.87827731999339775</v>
      </c>
      <c r="Z396">
        <v>5.6368332013774336E-2</v>
      </c>
      <c r="AB396">
        <v>13.526635203292797</v>
      </c>
      <c r="AC396">
        <v>12.107037694197535</v>
      </c>
      <c r="AD396">
        <v>11.570530564194906</v>
      </c>
    </row>
    <row r="397" spans="1:31" x14ac:dyDescent="0.3">
      <c r="A397">
        <v>395</v>
      </c>
      <c r="B397" t="s">
        <v>220</v>
      </c>
      <c r="C397" t="s">
        <v>189</v>
      </c>
      <c r="D397">
        <v>2</v>
      </c>
      <c r="E397" s="7" t="s">
        <v>21</v>
      </c>
      <c r="F397">
        <v>14</v>
      </c>
      <c r="G397" t="s">
        <v>27</v>
      </c>
      <c r="H397" t="s">
        <v>632</v>
      </c>
      <c r="I397" t="s">
        <v>440</v>
      </c>
      <c r="J397">
        <v>1.2110000000000001</v>
      </c>
      <c r="K397">
        <v>0.29099999999999998</v>
      </c>
      <c r="L397">
        <v>1.55</v>
      </c>
      <c r="M397" s="8">
        <v>1.6</v>
      </c>
      <c r="N397" s="8">
        <v>1.38</v>
      </c>
      <c r="O397" s="8">
        <v>1.45</v>
      </c>
      <c r="P397">
        <f t="shared" si="6"/>
        <v>1.4950000000000001</v>
      </c>
      <c r="Q397">
        <v>3.1657106128759133E-2</v>
      </c>
      <c r="R397">
        <v>6.2033162195872724E-2</v>
      </c>
      <c r="S397">
        <v>0.66709296003987417</v>
      </c>
      <c r="T397">
        <v>0.92409127933290913</v>
      </c>
      <c r="U397">
        <v>1.207376079721469</v>
      </c>
      <c r="V397">
        <v>3.4285128181779138E-2</v>
      </c>
      <c r="W397">
        <v>410</v>
      </c>
      <c r="X397">
        <v>623</v>
      </c>
      <c r="Y397">
        <v>0.73258945748364757</v>
      </c>
      <c r="Z397">
        <v>0.13513933545255705</v>
      </c>
      <c r="AB397">
        <v>31.06489433413158</v>
      </c>
      <c r="AC397">
        <v>27.804816037799206</v>
      </c>
      <c r="AD397">
        <v>23.029126139565008</v>
      </c>
    </row>
    <row r="398" spans="1:31" x14ac:dyDescent="0.3">
      <c r="A398">
        <v>396</v>
      </c>
      <c r="B398" t="s">
        <v>220</v>
      </c>
      <c r="C398" t="s">
        <v>189</v>
      </c>
      <c r="D398">
        <v>2</v>
      </c>
      <c r="E398" s="7" t="s">
        <v>21</v>
      </c>
      <c r="F398">
        <v>15</v>
      </c>
      <c r="G398" t="s">
        <v>23</v>
      </c>
      <c r="H398" t="s">
        <v>633</v>
      </c>
      <c r="I398" t="s">
        <v>430</v>
      </c>
      <c r="J398">
        <v>1.03</v>
      </c>
      <c r="K398">
        <v>0.33</v>
      </c>
      <c r="L398">
        <v>2.1800000000000002</v>
      </c>
      <c r="M398" s="8">
        <v>2.54</v>
      </c>
      <c r="N398" s="8">
        <v>1.88</v>
      </c>
      <c r="O398" s="8">
        <v>2.13</v>
      </c>
      <c r="P398">
        <f t="shared" si="6"/>
        <v>2.1825000000000001</v>
      </c>
      <c r="Q398">
        <v>3.5424037121875585E-2</v>
      </c>
      <c r="R398">
        <v>4.1699607139629925E-2</v>
      </c>
      <c r="S398">
        <v>0.74013986577722246</v>
      </c>
      <c r="T398">
        <v>0.88759410864898225</v>
      </c>
      <c r="U398">
        <v>1.3798680365824676</v>
      </c>
      <c r="V398">
        <v>5.1785589033234769E-2</v>
      </c>
      <c r="W398">
        <v>498</v>
      </c>
      <c r="X398">
        <v>691</v>
      </c>
      <c r="Y398">
        <v>0.80270239027961521</v>
      </c>
      <c r="Z398">
        <v>9.5445443783285164E-2</v>
      </c>
      <c r="AB398">
        <v>21.351152224038628</v>
      </c>
      <c r="AC398">
        <v>19.110485865308444</v>
      </c>
      <c r="AD398">
        <v>13.849502531154767</v>
      </c>
    </row>
    <row r="399" spans="1:31" x14ac:dyDescent="0.3">
      <c r="A399">
        <v>397</v>
      </c>
      <c r="B399" t="s">
        <v>220</v>
      </c>
      <c r="C399" t="s">
        <v>189</v>
      </c>
      <c r="D399">
        <v>3</v>
      </c>
      <c r="E399" s="7" t="s">
        <v>21</v>
      </c>
      <c r="F399">
        <v>1</v>
      </c>
      <c r="G399" t="s">
        <v>25</v>
      </c>
      <c r="H399" t="s">
        <v>634</v>
      </c>
      <c r="I399" t="s">
        <v>432</v>
      </c>
      <c r="J399">
        <v>1.7769999999999999</v>
      </c>
      <c r="K399">
        <v>0.32900000000000001</v>
      </c>
      <c r="L399">
        <v>1.29</v>
      </c>
      <c r="M399" s="8">
        <v>1.08</v>
      </c>
      <c r="N399" s="8">
        <v>1.23</v>
      </c>
      <c r="O399" s="8">
        <v>1.27</v>
      </c>
      <c r="P399">
        <f t="shared" si="6"/>
        <v>1.2175</v>
      </c>
      <c r="Q399">
        <v>4.5047575923625342E-2</v>
      </c>
      <c r="R399">
        <v>8.3446065577015144E-2</v>
      </c>
      <c r="S399">
        <v>0.73631049402589777</v>
      </c>
      <c r="T399">
        <v>0.87242759726576613</v>
      </c>
      <c r="U399">
        <v>1.0785941351797388</v>
      </c>
      <c r="V399">
        <v>5.92706049563917E-2</v>
      </c>
      <c r="W399">
        <v>563</v>
      </c>
      <c r="X399">
        <v>728</v>
      </c>
      <c r="Y399">
        <v>0.86162510056315356</v>
      </c>
      <c r="Z399">
        <v>6.4681657809789184E-2</v>
      </c>
      <c r="AB399">
        <v>15.046808396276848</v>
      </c>
      <c r="AC399">
        <v>13.467698792461462</v>
      </c>
      <c r="AD399">
        <v>12.48634528336016</v>
      </c>
    </row>
    <row r="400" spans="1:31" x14ac:dyDescent="0.3">
      <c r="A400">
        <v>398</v>
      </c>
      <c r="B400" t="s">
        <v>220</v>
      </c>
      <c r="C400" t="s">
        <v>189</v>
      </c>
      <c r="D400">
        <v>3</v>
      </c>
      <c r="E400" s="7" t="s">
        <v>21</v>
      </c>
      <c r="F400">
        <v>4</v>
      </c>
      <c r="G400" t="s">
        <v>26</v>
      </c>
      <c r="H400" t="s">
        <v>635</v>
      </c>
      <c r="I400" t="s">
        <v>436</v>
      </c>
      <c r="J400">
        <v>2.7959999999999998</v>
      </c>
      <c r="K400">
        <v>0.86899999999999999</v>
      </c>
      <c r="L400">
        <v>1.94</v>
      </c>
      <c r="M400" s="8">
        <v>1.72</v>
      </c>
      <c r="N400" s="8">
        <v>1.57</v>
      </c>
      <c r="O400" s="8">
        <v>1.95</v>
      </c>
      <c r="P400">
        <f t="shared" si="6"/>
        <v>1.7950000000000002</v>
      </c>
      <c r="Q400">
        <v>2.5528674668199056E-2</v>
      </c>
      <c r="R400">
        <v>2.9538155152308319E-2</v>
      </c>
      <c r="S400">
        <v>0.6074969683082001</v>
      </c>
      <c r="T400">
        <v>1.0306785641852836</v>
      </c>
      <c r="U400">
        <v>1.5296166326595533</v>
      </c>
      <c r="V400">
        <v>-1.3123243783605182E-2</v>
      </c>
      <c r="W400">
        <v>274</v>
      </c>
      <c r="X400">
        <v>541</v>
      </c>
      <c r="Y400">
        <v>0.56269394322491673</v>
      </c>
      <c r="Z400">
        <v>0.24972775951839676</v>
      </c>
      <c r="AB400">
        <v>69.090214904857589</v>
      </c>
      <c r="AC400">
        <v>61.839110130681128</v>
      </c>
      <c r="AD400">
        <v>40.427848920001026</v>
      </c>
    </row>
    <row r="401" spans="1:30" x14ac:dyDescent="0.3">
      <c r="A401">
        <v>399</v>
      </c>
      <c r="B401" t="s">
        <v>220</v>
      </c>
      <c r="C401" t="s">
        <v>189</v>
      </c>
      <c r="D401">
        <v>3</v>
      </c>
      <c r="E401" s="7" t="s">
        <v>21</v>
      </c>
      <c r="F401">
        <v>5</v>
      </c>
      <c r="G401" t="s">
        <v>23</v>
      </c>
      <c r="H401" t="s">
        <v>636</v>
      </c>
      <c r="I401" t="s">
        <v>430</v>
      </c>
      <c r="J401">
        <v>1.2350000000000001</v>
      </c>
      <c r="K401">
        <v>0.36799999999999999</v>
      </c>
      <c r="L401">
        <v>2.4</v>
      </c>
      <c r="M401" s="8">
        <v>2.21</v>
      </c>
      <c r="N401" s="8">
        <v>2.31</v>
      </c>
      <c r="O401" s="8">
        <v>2.62</v>
      </c>
      <c r="P401">
        <f t="shared" si="6"/>
        <v>2.3849999999999998</v>
      </c>
      <c r="Q401">
        <v>3.4484664570606234E-2</v>
      </c>
      <c r="R401">
        <v>5.5035523006079251E-2</v>
      </c>
      <c r="S401">
        <v>0.73629952164356982</v>
      </c>
      <c r="T401">
        <v>0.89147368651535364</v>
      </c>
      <c r="U401">
        <v>1.2593569020406474</v>
      </c>
      <c r="V401">
        <v>4.9891471299435511E-2</v>
      </c>
      <c r="W401">
        <v>426</v>
      </c>
      <c r="X401">
        <v>665</v>
      </c>
      <c r="Y401">
        <v>0.71309013734833615</v>
      </c>
      <c r="Z401">
        <v>0.14685557017789735</v>
      </c>
      <c r="AB401">
        <v>34.272197424591241</v>
      </c>
      <c r="AC401">
        <v>30.675512415916476</v>
      </c>
      <c r="AD401">
        <v>24.358077020271402</v>
      </c>
    </row>
    <row r="402" spans="1:30" x14ac:dyDescent="0.3">
      <c r="A402">
        <v>400</v>
      </c>
      <c r="B402" t="s">
        <v>220</v>
      </c>
      <c r="C402" t="s">
        <v>189</v>
      </c>
      <c r="D402">
        <v>3</v>
      </c>
      <c r="E402" s="7" t="s">
        <v>21</v>
      </c>
      <c r="F402">
        <v>8</v>
      </c>
      <c r="G402" t="s">
        <v>22</v>
      </c>
      <c r="H402" t="s">
        <v>637</v>
      </c>
      <c r="I402" t="s">
        <v>444</v>
      </c>
      <c r="J402">
        <v>1.05</v>
      </c>
      <c r="K402">
        <v>0.38100000000000001</v>
      </c>
      <c r="L402">
        <v>4.95</v>
      </c>
      <c r="M402" s="8">
        <v>3.61</v>
      </c>
      <c r="N402" s="8">
        <v>5.75</v>
      </c>
      <c r="O402" s="8">
        <v>5.5</v>
      </c>
      <c r="P402">
        <f t="shared" si="6"/>
        <v>4.9525000000000006</v>
      </c>
      <c r="Q402">
        <v>3.6284540047913053E-2</v>
      </c>
      <c r="R402">
        <v>8.2435680353055305E-2</v>
      </c>
      <c r="S402">
        <v>0.91009280188722275</v>
      </c>
      <c r="T402">
        <v>0.81353298276684649</v>
      </c>
      <c r="U402">
        <v>1.083884773418569</v>
      </c>
      <c r="V402">
        <v>8.9624834929624753E-2</v>
      </c>
      <c r="W402">
        <v>564</v>
      </c>
      <c r="X402">
        <v>716</v>
      </c>
      <c r="Y402">
        <v>0.87766788131181672</v>
      </c>
      <c r="Z402">
        <v>5.6669794572970146E-2</v>
      </c>
      <c r="AB402">
        <v>13.580396635181399</v>
      </c>
      <c r="AC402">
        <v>12.155158009282401</v>
      </c>
      <c r="AD402">
        <v>11.214437463629157</v>
      </c>
    </row>
    <row r="403" spans="1:30" x14ac:dyDescent="0.3">
      <c r="A403">
        <v>401</v>
      </c>
      <c r="B403" t="s">
        <v>220</v>
      </c>
      <c r="C403" t="s">
        <v>189</v>
      </c>
      <c r="D403">
        <v>3</v>
      </c>
      <c r="E403" s="7" t="s">
        <v>21</v>
      </c>
      <c r="F403">
        <v>9</v>
      </c>
      <c r="G403" t="s">
        <v>24</v>
      </c>
      <c r="H403" t="s">
        <v>638</v>
      </c>
      <c r="I403" t="s">
        <v>434</v>
      </c>
      <c r="J403">
        <v>1.569</v>
      </c>
      <c r="K403">
        <v>0.59799999999999998</v>
      </c>
      <c r="L403">
        <v>3.84</v>
      </c>
      <c r="M403" s="8">
        <v>6.13</v>
      </c>
      <c r="N403" s="8">
        <v>4.5599999999999996</v>
      </c>
      <c r="O403" s="8">
        <v>4.3099999999999996</v>
      </c>
      <c r="P403">
        <f t="shared" si="6"/>
        <v>4.7099999999999991</v>
      </c>
      <c r="Q403">
        <v>3.5901495983631876E-2</v>
      </c>
      <c r="R403">
        <v>0.10557603761289738</v>
      </c>
      <c r="S403">
        <v>0.75417913537450743</v>
      </c>
      <c r="T403">
        <v>0.93032239429077379</v>
      </c>
      <c r="U403">
        <v>0.97643464158819548</v>
      </c>
      <c r="V403">
        <v>3.1366524781104507E-2</v>
      </c>
      <c r="W403">
        <v>430</v>
      </c>
      <c r="X403">
        <v>672</v>
      </c>
      <c r="Y403">
        <v>0.71229692246730947</v>
      </c>
      <c r="Z403">
        <v>0.14733893205351123</v>
      </c>
      <c r="AB403">
        <v>34.407847123074951</v>
      </c>
      <c r="AC403">
        <v>30.796925534737696</v>
      </c>
      <c r="AD403">
        <v>31.540181209308308</v>
      </c>
    </row>
    <row r="404" spans="1:30" x14ac:dyDescent="0.3">
      <c r="A404">
        <v>402</v>
      </c>
      <c r="B404" t="s">
        <v>220</v>
      </c>
      <c r="C404" t="s">
        <v>189</v>
      </c>
      <c r="D404">
        <v>3</v>
      </c>
      <c r="E404" s="7" t="s">
        <v>21</v>
      </c>
      <c r="F404">
        <v>15</v>
      </c>
      <c r="G404" t="s">
        <v>29</v>
      </c>
      <c r="H404" t="s">
        <v>639</v>
      </c>
      <c r="I404" t="s">
        <v>451</v>
      </c>
      <c r="J404">
        <v>0.19</v>
      </c>
      <c r="K404">
        <v>5.8999999999999997E-2</v>
      </c>
      <c r="L404">
        <v>2.98</v>
      </c>
      <c r="M404" s="8">
        <v>2.5</v>
      </c>
      <c r="N404" s="8">
        <v>2.37</v>
      </c>
      <c r="O404" s="8">
        <v>2.33</v>
      </c>
      <c r="P404">
        <f t="shared" si="6"/>
        <v>2.5449999999999999</v>
      </c>
      <c r="Q404">
        <v>3.6115028368356956E-2</v>
      </c>
      <c r="R404">
        <v>7.3441316620715194E-2</v>
      </c>
      <c r="S404">
        <v>0.67651752774479657</v>
      </c>
      <c r="T404">
        <v>0.84727429799681664</v>
      </c>
      <c r="U404">
        <v>1.1340595459137606</v>
      </c>
      <c r="V404">
        <v>7.1975967684297829E-2</v>
      </c>
      <c r="W404">
        <v>418</v>
      </c>
      <c r="X404">
        <v>572</v>
      </c>
      <c r="Y404">
        <v>0.81378667908709834</v>
      </c>
      <c r="Z404">
        <v>8.9489423411605443E-2</v>
      </c>
      <c r="AB404">
        <v>20.047159717502364</v>
      </c>
      <c r="AC404">
        <v>17.943334426190638</v>
      </c>
      <c r="AD404">
        <v>15.822215412624494</v>
      </c>
    </row>
    <row r="405" spans="1:30" x14ac:dyDescent="0.3">
      <c r="A405">
        <v>403</v>
      </c>
      <c r="B405" t="s">
        <v>220</v>
      </c>
      <c r="C405" t="s">
        <v>189</v>
      </c>
      <c r="D405">
        <v>4</v>
      </c>
      <c r="E405" s="7" t="s">
        <v>21</v>
      </c>
      <c r="F405">
        <v>2</v>
      </c>
      <c r="G405" t="s">
        <v>24</v>
      </c>
      <c r="H405" t="s">
        <v>640</v>
      </c>
      <c r="I405" t="s">
        <v>434</v>
      </c>
      <c r="J405">
        <v>2.246</v>
      </c>
      <c r="K405">
        <v>0.78800000000000003</v>
      </c>
      <c r="L405">
        <v>4.1100000000000003</v>
      </c>
      <c r="M405" s="8">
        <v>4.6900000000000004</v>
      </c>
      <c r="N405" s="8">
        <v>3.95</v>
      </c>
      <c r="O405" s="8">
        <v>3.69</v>
      </c>
      <c r="P405">
        <f t="shared" si="6"/>
        <v>4.1100000000000003</v>
      </c>
      <c r="Q405">
        <v>3.131094137477828E-2</v>
      </c>
      <c r="R405">
        <v>5.1198597261174705E-2</v>
      </c>
      <c r="S405">
        <v>0.70674768148385037</v>
      </c>
      <c r="T405">
        <v>0.839952254429987</v>
      </c>
      <c r="U405">
        <v>1.2907419376584808</v>
      </c>
      <c r="V405">
        <v>7.5745399922547765E-2</v>
      </c>
      <c r="W405">
        <v>491</v>
      </c>
      <c r="X405">
        <v>656</v>
      </c>
      <c r="Y405">
        <v>0.83372574490541518</v>
      </c>
      <c r="Z405">
        <v>7.8976787566503892E-2</v>
      </c>
      <c r="AB405">
        <v>17.843325439873219</v>
      </c>
      <c r="AC405">
        <v>15.970765789816287</v>
      </c>
      <c r="AD405">
        <v>12.373322136560201</v>
      </c>
    </row>
    <row r="406" spans="1:30" x14ac:dyDescent="0.3">
      <c r="A406">
        <v>404</v>
      </c>
      <c r="B406" t="s">
        <v>220</v>
      </c>
      <c r="C406" t="s">
        <v>189</v>
      </c>
      <c r="D406">
        <v>4</v>
      </c>
      <c r="E406" s="7" t="s">
        <v>21</v>
      </c>
      <c r="F406">
        <v>4</v>
      </c>
      <c r="G406" t="s">
        <v>22</v>
      </c>
      <c r="H406" t="s">
        <v>641</v>
      </c>
      <c r="I406" t="s">
        <v>444</v>
      </c>
      <c r="J406">
        <v>2.286</v>
      </c>
      <c r="K406">
        <v>0.85699999999999998</v>
      </c>
      <c r="L406">
        <v>3.97</v>
      </c>
      <c r="M406">
        <v>5.15</v>
      </c>
      <c r="N406">
        <v>3.01</v>
      </c>
      <c r="O406">
        <v>4.03</v>
      </c>
      <c r="P406">
        <f t="shared" si="6"/>
        <v>4.04</v>
      </c>
      <c r="Q406">
        <v>2.8939318195078671E-2</v>
      </c>
      <c r="R406">
        <v>6.6408859777810081E-2</v>
      </c>
      <c r="S406">
        <v>0.797638548277952</v>
      </c>
      <c r="T406">
        <v>0.93203921378568666</v>
      </c>
      <c r="U406">
        <v>1.177773976416123</v>
      </c>
      <c r="V406">
        <v>3.0565815143364386E-2</v>
      </c>
      <c r="W406">
        <v>371</v>
      </c>
      <c r="X406">
        <v>594</v>
      </c>
      <c r="Y406">
        <v>0.6950191341784262</v>
      </c>
      <c r="Z406">
        <v>0.15800323892971624</v>
      </c>
      <c r="AB406">
        <v>37.46779175125544</v>
      </c>
      <c r="AC406">
        <v>33.535723112646764</v>
      </c>
      <c r="AD406">
        <v>28.473819072394033</v>
      </c>
    </row>
    <row r="407" spans="1:30" x14ac:dyDescent="0.3">
      <c r="A407">
        <v>405</v>
      </c>
      <c r="B407" t="s">
        <v>220</v>
      </c>
      <c r="C407" t="s">
        <v>189</v>
      </c>
      <c r="D407">
        <v>4</v>
      </c>
      <c r="E407" s="7" t="s">
        <v>21</v>
      </c>
      <c r="F407">
        <v>7</v>
      </c>
      <c r="G407" t="s">
        <v>27</v>
      </c>
      <c r="H407" t="s">
        <v>642</v>
      </c>
      <c r="I407" t="s">
        <v>440</v>
      </c>
      <c r="J407">
        <v>1.03</v>
      </c>
      <c r="K407">
        <v>0.28399999999999997</v>
      </c>
      <c r="L407">
        <v>2.2999999999999998</v>
      </c>
      <c r="M407">
        <v>2.25</v>
      </c>
      <c r="N407">
        <v>2.68</v>
      </c>
      <c r="O407">
        <v>2.2999999999999998</v>
      </c>
      <c r="P407">
        <f t="shared" si="6"/>
        <v>2.3825000000000003</v>
      </c>
      <c r="Q407">
        <v>2.6271723477529686E-2</v>
      </c>
      <c r="R407">
        <v>4.0928456429089662E-2</v>
      </c>
      <c r="S407">
        <v>0.70727325929231211</v>
      </c>
      <c r="T407">
        <v>0.86787990983183727</v>
      </c>
      <c r="U407">
        <v>1.3879746339760264</v>
      </c>
      <c r="V407">
        <v>6.1540364806866664E-2</v>
      </c>
      <c r="W407">
        <v>457</v>
      </c>
      <c r="X407">
        <v>641</v>
      </c>
      <c r="Y407">
        <v>0.79396734388632673</v>
      </c>
      <c r="Z407">
        <v>0.10019735986714462</v>
      </c>
      <c r="AB407">
        <v>22.420256664747946</v>
      </c>
      <c r="AC407">
        <v>20.067396973008258</v>
      </c>
      <c r="AD407">
        <v>14.458043023108209</v>
      </c>
    </row>
    <row r="408" spans="1:30" x14ac:dyDescent="0.3">
      <c r="A408">
        <v>406</v>
      </c>
      <c r="B408" t="s">
        <v>220</v>
      </c>
      <c r="C408" t="s">
        <v>189</v>
      </c>
      <c r="D408">
        <v>4</v>
      </c>
      <c r="E408" s="7" t="s">
        <v>21</v>
      </c>
      <c r="F408">
        <v>12</v>
      </c>
      <c r="G408" t="s">
        <v>23</v>
      </c>
      <c r="H408" t="s">
        <v>643</v>
      </c>
      <c r="I408" t="s">
        <v>430</v>
      </c>
      <c r="J408">
        <v>1.62</v>
      </c>
      <c r="K408">
        <v>0.50600000000000001</v>
      </c>
      <c r="L408">
        <v>3.03</v>
      </c>
      <c r="M408">
        <v>2.39</v>
      </c>
      <c r="N408">
        <v>2.2999999999999998</v>
      </c>
      <c r="O408">
        <v>2.79</v>
      </c>
      <c r="P408">
        <f t="shared" si="6"/>
        <v>2.6274999999999999</v>
      </c>
      <c r="Q408">
        <v>3.5833500726087118E-2</v>
      </c>
      <c r="R408">
        <v>5.6087269981851748E-2</v>
      </c>
      <c r="S408">
        <v>0.69017589564395598</v>
      </c>
      <c r="T408">
        <v>0.91833977899268737</v>
      </c>
      <c r="U408">
        <v>1.2511356985298274</v>
      </c>
      <c r="V408">
        <v>3.6996603287431269E-2</v>
      </c>
      <c r="W408">
        <v>370</v>
      </c>
      <c r="X408">
        <v>614</v>
      </c>
      <c r="Y408">
        <v>0.67048412285268089</v>
      </c>
      <c r="Z408">
        <v>0.17361150183790036</v>
      </c>
      <c r="AB408">
        <v>42.177896189008621</v>
      </c>
      <c r="AC408">
        <v>37.75148423613485</v>
      </c>
      <c r="AD408">
        <v>30.173772741434444</v>
      </c>
    </row>
    <row r="409" spans="1:30" x14ac:dyDescent="0.3">
      <c r="A409">
        <v>407</v>
      </c>
      <c r="B409" t="s">
        <v>220</v>
      </c>
      <c r="C409" t="s">
        <v>189</v>
      </c>
      <c r="D409">
        <v>4</v>
      </c>
      <c r="E409" s="7" t="s">
        <v>21</v>
      </c>
      <c r="F409">
        <v>15</v>
      </c>
      <c r="G409" t="s">
        <v>26</v>
      </c>
      <c r="H409" t="s">
        <v>644</v>
      </c>
      <c r="I409" t="s">
        <v>436</v>
      </c>
      <c r="J409">
        <v>5.242</v>
      </c>
      <c r="K409">
        <v>1.35</v>
      </c>
      <c r="L409">
        <v>1.64</v>
      </c>
      <c r="M409">
        <v>1.65</v>
      </c>
      <c r="N409">
        <v>1.5</v>
      </c>
      <c r="O409">
        <v>1.54</v>
      </c>
      <c r="P409">
        <f t="shared" si="6"/>
        <v>1.5825</v>
      </c>
      <c r="Q409">
        <v>2.6009096183608471E-2</v>
      </c>
      <c r="R409">
        <v>3.3721664248809999E-2</v>
      </c>
      <c r="S409">
        <v>0.62649737456108467</v>
      </c>
      <c r="T409">
        <v>1.0479985749901946</v>
      </c>
      <c r="U409">
        <v>1.472090999995129</v>
      </c>
      <c r="V409">
        <v>-2.036069211878045E-2</v>
      </c>
      <c r="W409">
        <v>381</v>
      </c>
      <c r="X409">
        <v>653</v>
      </c>
      <c r="Y409">
        <v>0.64915786468741077</v>
      </c>
      <c r="Z409">
        <v>0.18764967696597645</v>
      </c>
      <c r="AB409">
        <v>46.649221568199096</v>
      </c>
      <c r="AC409">
        <v>41.753518546374195</v>
      </c>
      <c r="AD409">
        <v>28.363408611636341</v>
      </c>
    </row>
    <row r="410" spans="1:30" x14ac:dyDescent="0.3">
      <c r="A410">
        <v>408</v>
      </c>
      <c r="B410" t="s">
        <v>221</v>
      </c>
      <c r="C410" t="s">
        <v>189</v>
      </c>
      <c r="D410">
        <v>1</v>
      </c>
      <c r="E410" s="7" t="s">
        <v>21</v>
      </c>
      <c r="F410">
        <v>1</v>
      </c>
      <c r="G410" t="s">
        <v>29</v>
      </c>
      <c r="H410" t="s">
        <v>645</v>
      </c>
      <c r="I410" t="s">
        <v>451</v>
      </c>
      <c r="J410">
        <v>1.07</v>
      </c>
      <c r="K410">
        <v>0.44</v>
      </c>
      <c r="L410">
        <v>3.08</v>
      </c>
      <c r="M410">
        <v>2.9</v>
      </c>
      <c r="N410">
        <v>2.71</v>
      </c>
      <c r="O410">
        <v>2.84</v>
      </c>
      <c r="P410">
        <f t="shared" si="6"/>
        <v>2.8825000000000003</v>
      </c>
      <c r="Q410">
        <v>8.3645561488007406E-2</v>
      </c>
      <c r="R410">
        <v>6.8443944494556486E-2</v>
      </c>
      <c r="S410">
        <v>0.63066359642129965</v>
      </c>
      <c r="T410">
        <v>0.67249163692170666</v>
      </c>
      <c r="U410">
        <v>1.164664969574307</v>
      </c>
      <c r="V410">
        <v>0.1723131121602583</v>
      </c>
      <c r="W410">
        <v>582</v>
      </c>
      <c r="X410">
        <v>642</v>
      </c>
      <c r="Y410">
        <v>1.0134165366614665</v>
      </c>
      <c r="Z410">
        <v>-5.7879867143014775E-3</v>
      </c>
      <c r="AB410">
        <v>4.6342914065195657</v>
      </c>
      <c r="AC410">
        <v>4.1476213994722197</v>
      </c>
      <c r="AD410">
        <v>3.5612141755995319</v>
      </c>
    </row>
    <row r="411" spans="1:30" x14ac:dyDescent="0.3">
      <c r="A411">
        <v>409</v>
      </c>
      <c r="B411" t="s">
        <v>221</v>
      </c>
      <c r="C411" t="s">
        <v>189</v>
      </c>
      <c r="D411">
        <v>1</v>
      </c>
      <c r="E411" s="7" t="s">
        <v>21</v>
      </c>
      <c r="F411">
        <v>2</v>
      </c>
      <c r="G411" t="s">
        <v>22</v>
      </c>
      <c r="H411" t="s">
        <v>646</v>
      </c>
      <c r="I411" t="s">
        <v>444</v>
      </c>
      <c r="J411">
        <v>4.1100000000000003</v>
      </c>
      <c r="K411">
        <v>1.8129999999999999</v>
      </c>
      <c r="L411">
        <v>3.78</v>
      </c>
      <c r="M411">
        <v>5.7</v>
      </c>
      <c r="N411">
        <v>4.95</v>
      </c>
      <c r="O411">
        <v>4.7300000000000004</v>
      </c>
      <c r="P411">
        <f t="shared" si="6"/>
        <v>4.79</v>
      </c>
      <c r="Q411">
        <v>3.5715704237634975E-2</v>
      </c>
      <c r="R411">
        <v>4.7501875244014266E-2</v>
      </c>
      <c r="S411">
        <v>0.84157870719415895</v>
      </c>
      <c r="T411">
        <v>0.75721539390661563</v>
      </c>
      <c r="U411">
        <v>1.3232892452792997</v>
      </c>
      <c r="V411">
        <v>0.12078056557361208</v>
      </c>
      <c r="W411">
        <v>574</v>
      </c>
      <c r="X411">
        <v>659</v>
      </c>
      <c r="Y411">
        <v>0.97361702127659577</v>
      </c>
      <c r="Z411">
        <v>1.1611842150749665E-2</v>
      </c>
      <c r="AB411">
        <v>6.6838052924941227</v>
      </c>
      <c r="AC411">
        <v>5.9821471100010264</v>
      </c>
      <c r="AD411">
        <v>4.5206647989785527</v>
      </c>
    </row>
    <row r="412" spans="1:30" x14ac:dyDescent="0.3">
      <c r="A412">
        <v>410</v>
      </c>
      <c r="B412" t="s">
        <v>221</v>
      </c>
      <c r="C412" t="s">
        <v>189</v>
      </c>
      <c r="D412">
        <v>1</v>
      </c>
      <c r="E412" s="7" t="s">
        <v>21</v>
      </c>
      <c r="F412">
        <v>8</v>
      </c>
      <c r="G412" t="s">
        <v>25</v>
      </c>
      <c r="H412" t="s">
        <v>649</v>
      </c>
      <c r="I412" t="s">
        <v>432</v>
      </c>
      <c r="J412">
        <v>1.494</v>
      </c>
      <c r="K412">
        <v>0.378</v>
      </c>
      <c r="L412">
        <v>1.37</v>
      </c>
      <c r="M412">
        <v>1.65</v>
      </c>
      <c r="N412">
        <v>1.2</v>
      </c>
      <c r="O412">
        <v>1.01</v>
      </c>
      <c r="P412">
        <f t="shared" si="6"/>
        <v>1.3074999999999999</v>
      </c>
      <c r="Q412">
        <v>5.7473547049067777E-2</v>
      </c>
      <c r="R412">
        <v>0.14741961282625118</v>
      </c>
      <c r="S412">
        <v>0.93152091665765868</v>
      </c>
      <c r="T412">
        <v>0.86253903839033319</v>
      </c>
      <c r="U412">
        <v>0.8314447337389308</v>
      </c>
      <c r="V412">
        <v>6.4221239705323688E-2</v>
      </c>
      <c r="W412">
        <v>560</v>
      </c>
      <c r="X412">
        <v>698</v>
      </c>
      <c r="Y412">
        <v>0.89664275466284082</v>
      </c>
      <c r="Z412">
        <v>4.7380556490249026E-2</v>
      </c>
      <c r="AB412">
        <v>11.970945320211518</v>
      </c>
      <c r="AC412">
        <v>10.714581425032961</v>
      </c>
      <c r="AD412">
        <v>12.886703096729557</v>
      </c>
    </row>
    <row r="413" spans="1:30" x14ac:dyDescent="0.3">
      <c r="A413">
        <v>411</v>
      </c>
      <c r="B413" t="s">
        <v>221</v>
      </c>
      <c r="C413" t="s">
        <v>189</v>
      </c>
      <c r="D413">
        <v>1</v>
      </c>
      <c r="E413" s="7" t="s">
        <v>21</v>
      </c>
      <c r="F413">
        <v>7</v>
      </c>
      <c r="G413" t="s">
        <v>24</v>
      </c>
      <c r="H413" t="s">
        <v>648</v>
      </c>
      <c r="I413" t="s">
        <v>434</v>
      </c>
      <c r="J413">
        <v>2.64</v>
      </c>
      <c r="K413">
        <v>1.204</v>
      </c>
      <c r="L413">
        <v>3.77</v>
      </c>
      <c r="M413">
        <v>6.17</v>
      </c>
      <c r="N413">
        <v>3.68</v>
      </c>
      <c r="O413">
        <v>4.58</v>
      </c>
      <c r="P413">
        <f t="shared" si="6"/>
        <v>4.55</v>
      </c>
      <c r="Q413">
        <v>4.0810376201786583E-2</v>
      </c>
      <c r="R413">
        <v>5.8881706792455087E-2</v>
      </c>
      <c r="S413">
        <v>0.70749736393188412</v>
      </c>
      <c r="T413">
        <v>0.83953551579424557</v>
      </c>
      <c r="U413">
        <v>1.230019609679361</v>
      </c>
      <c r="V413">
        <v>7.5960926700201839E-2</v>
      </c>
      <c r="W413">
        <v>419</v>
      </c>
      <c r="X413">
        <v>596</v>
      </c>
      <c r="Y413">
        <v>0.78494117647058825</v>
      </c>
      <c r="Z413">
        <v>0.10516288808461043</v>
      </c>
      <c r="AB413">
        <v>23.564669394367719</v>
      </c>
      <c r="AC413">
        <v>21.091712085950562</v>
      </c>
      <c r="AD413">
        <v>17.147460024193197</v>
      </c>
    </row>
    <row r="414" spans="1:30" x14ac:dyDescent="0.3">
      <c r="A414">
        <v>412</v>
      </c>
      <c r="B414" t="s">
        <v>221</v>
      </c>
      <c r="C414" t="s">
        <v>189</v>
      </c>
      <c r="D414">
        <v>1</v>
      </c>
      <c r="E414" s="7" t="s">
        <v>21</v>
      </c>
      <c r="F414">
        <v>5</v>
      </c>
      <c r="G414" t="s">
        <v>23</v>
      </c>
      <c r="H414" t="s">
        <v>647</v>
      </c>
      <c r="I414" t="s">
        <v>430</v>
      </c>
      <c r="J414">
        <v>2.0699999999999998</v>
      </c>
      <c r="K414">
        <v>0.69799999999999995</v>
      </c>
      <c r="L414">
        <v>2.19</v>
      </c>
      <c r="M414">
        <v>2.19</v>
      </c>
      <c r="N414">
        <v>2.82</v>
      </c>
      <c r="O414">
        <v>2.5499999999999998</v>
      </c>
      <c r="P414">
        <f t="shared" si="6"/>
        <v>2.4375</v>
      </c>
      <c r="Q414">
        <v>4.1512061719159686E-2</v>
      </c>
      <c r="R414">
        <v>5.0466331054190496E-2</v>
      </c>
      <c r="S414">
        <v>0.67069085503517545</v>
      </c>
      <c r="T414">
        <v>0.86403573003997114</v>
      </c>
      <c r="U414">
        <v>1.2969982677021958</v>
      </c>
      <c r="V414">
        <v>6.3468297985976654E-2</v>
      </c>
      <c r="W414">
        <v>425</v>
      </c>
      <c r="X414">
        <v>613</v>
      </c>
      <c r="Y414">
        <v>0.77411764705882358</v>
      </c>
      <c r="Z414">
        <v>0.11119303210033722</v>
      </c>
      <c r="AB414">
        <v>24.99188975518744</v>
      </c>
      <c r="AC414">
        <v>22.369154491820712</v>
      </c>
      <c r="AD414">
        <v>17.246865357384504</v>
      </c>
    </row>
    <row r="415" spans="1:30" x14ac:dyDescent="0.3">
      <c r="A415">
        <v>413</v>
      </c>
      <c r="B415" t="s">
        <v>221</v>
      </c>
      <c r="C415" t="s">
        <v>189</v>
      </c>
      <c r="D415">
        <v>1</v>
      </c>
      <c r="E415" s="7" t="s">
        <v>21</v>
      </c>
      <c r="F415">
        <v>12</v>
      </c>
      <c r="G415" t="s">
        <v>192</v>
      </c>
      <c r="H415" t="s">
        <v>650</v>
      </c>
      <c r="I415" t="s">
        <v>442</v>
      </c>
      <c r="J415">
        <v>3.9390000000000001</v>
      </c>
      <c r="K415">
        <v>1.1679999999999999</v>
      </c>
      <c r="L415">
        <v>3.12</v>
      </c>
      <c r="M415">
        <v>2.74</v>
      </c>
      <c r="N415">
        <v>2.31</v>
      </c>
      <c r="O415">
        <v>2.54</v>
      </c>
      <c r="P415">
        <f t="shared" si="6"/>
        <v>2.6775000000000002</v>
      </c>
      <c r="Q415">
        <v>3.1180376715395614E-2</v>
      </c>
      <c r="R415">
        <v>8.1177311800931531E-2</v>
      </c>
      <c r="S415">
        <v>0.85259711916193803</v>
      </c>
      <c r="T415">
        <v>0.90201410005012783</v>
      </c>
      <c r="U415">
        <v>1.0905653345086566</v>
      </c>
      <c r="V415">
        <v>4.4786673626457676E-2</v>
      </c>
      <c r="W415">
        <v>416</v>
      </c>
      <c r="X415">
        <v>586</v>
      </c>
      <c r="Y415">
        <v>0.79261538461538472</v>
      </c>
      <c r="Z415">
        <v>0.10093750229109984</v>
      </c>
      <c r="AB415">
        <v>22.589072300319284</v>
      </c>
      <c r="AC415">
        <v>20.218496745231015</v>
      </c>
      <c r="AD415">
        <v>18.539463987584256</v>
      </c>
    </row>
    <row r="416" spans="1:30" x14ac:dyDescent="0.3">
      <c r="A416">
        <v>414</v>
      </c>
      <c r="B416" t="s">
        <v>221</v>
      </c>
      <c r="C416" t="s">
        <v>189</v>
      </c>
      <c r="D416">
        <v>2</v>
      </c>
      <c r="E416" s="7" t="s">
        <v>21</v>
      </c>
      <c r="F416">
        <v>3</v>
      </c>
      <c r="G416" t="s">
        <v>24</v>
      </c>
      <c r="H416" t="s">
        <v>651</v>
      </c>
      <c r="I416" t="s">
        <v>434</v>
      </c>
      <c r="J416">
        <v>2.68</v>
      </c>
      <c r="K416">
        <v>0.94899999999999995</v>
      </c>
      <c r="L416">
        <v>5.83</v>
      </c>
      <c r="M416">
        <v>6.24</v>
      </c>
      <c r="N416">
        <v>5.73</v>
      </c>
      <c r="O416">
        <v>4.32</v>
      </c>
      <c r="P416">
        <f t="shared" si="6"/>
        <v>5.53</v>
      </c>
      <c r="Q416">
        <v>4.1360909445774467E-2</v>
      </c>
      <c r="R416">
        <v>0.11624578624855605</v>
      </c>
      <c r="S416">
        <v>0.87012811362839948</v>
      </c>
      <c r="T416">
        <v>0.8563959511187339</v>
      </c>
      <c r="U416">
        <v>0.9346227807362234</v>
      </c>
      <c r="V416">
        <v>6.7325394636530228E-2</v>
      </c>
      <c r="W416">
        <v>477</v>
      </c>
      <c r="X416">
        <v>628</v>
      </c>
      <c r="Y416">
        <v>0.84848484848484851</v>
      </c>
      <c r="Z416">
        <v>7.1355908535668242E-2</v>
      </c>
      <c r="AB416">
        <v>16.323750044918</v>
      </c>
      <c r="AC416">
        <v>14.610647303537839</v>
      </c>
      <c r="AD416">
        <v>15.632667643761799</v>
      </c>
    </row>
    <row r="417" spans="1:30" x14ac:dyDescent="0.3">
      <c r="A417">
        <v>415</v>
      </c>
      <c r="B417" t="s">
        <v>221</v>
      </c>
      <c r="C417" t="s">
        <v>189</v>
      </c>
      <c r="D417">
        <v>2</v>
      </c>
      <c r="E417" s="7" t="s">
        <v>21</v>
      </c>
      <c r="F417">
        <v>4</v>
      </c>
      <c r="G417" t="s">
        <v>27</v>
      </c>
      <c r="H417" t="s">
        <v>652</v>
      </c>
      <c r="I417" t="s">
        <v>440</v>
      </c>
      <c r="J417">
        <v>0.44</v>
      </c>
      <c r="K417">
        <v>8.1000000000000003E-2</v>
      </c>
      <c r="L417">
        <v>1.64</v>
      </c>
      <c r="M417">
        <v>1.27</v>
      </c>
      <c r="N417">
        <v>1.42</v>
      </c>
      <c r="O417">
        <v>1.7</v>
      </c>
      <c r="P417">
        <f t="shared" si="6"/>
        <v>1.5075000000000001</v>
      </c>
      <c r="Q417">
        <v>8.6356086816117422E-2</v>
      </c>
      <c r="R417">
        <v>0.31308640870749083</v>
      </c>
      <c r="S417">
        <v>0.84678230505000662</v>
      </c>
      <c r="T417">
        <v>0.93859690252681283</v>
      </c>
      <c r="U417">
        <v>0.50433578499073484</v>
      </c>
      <c r="V417">
        <v>2.7520883340797407E-2</v>
      </c>
      <c r="W417">
        <v>534</v>
      </c>
      <c r="X417">
        <v>739</v>
      </c>
      <c r="Y417">
        <v>0.8073712737127372</v>
      </c>
      <c r="Z417">
        <v>9.2926706857811736E-2</v>
      </c>
      <c r="AB417">
        <v>20.794818697812975</v>
      </c>
      <c r="AC417">
        <v>18.612534263685916</v>
      </c>
      <c r="AD417">
        <v>36.905043856897535</v>
      </c>
    </row>
    <row r="418" spans="1:30" x14ac:dyDescent="0.3">
      <c r="A418">
        <v>416</v>
      </c>
      <c r="B418" t="s">
        <v>221</v>
      </c>
      <c r="C418" t="s">
        <v>189</v>
      </c>
      <c r="D418">
        <v>2</v>
      </c>
      <c r="E418" s="7" t="s">
        <v>21</v>
      </c>
      <c r="F418">
        <v>8</v>
      </c>
      <c r="G418" t="s">
        <v>26</v>
      </c>
      <c r="H418" t="s">
        <v>653</v>
      </c>
      <c r="I418" t="s">
        <v>436</v>
      </c>
      <c r="J418">
        <v>1.873</v>
      </c>
      <c r="K418">
        <v>0.46700000000000003</v>
      </c>
      <c r="L418">
        <v>1.59</v>
      </c>
      <c r="M418">
        <v>1.54</v>
      </c>
      <c r="N418">
        <v>1.49</v>
      </c>
      <c r="O418">
        <v>1.19</v>
      </c>
      <c r="P418">
        <f t="shared" si="6"/>
        <v>1.4525000000000001</v>
      </c>
      <c r="Q418">
        <v>5.3474346066903482E-2</v>
      </c>
      <c r="R418">
        <v>0.16573701159356852</v>
      </c>
      <c r="S418">
        <v>0.78259220864251422</v>
      </c>
      <c r="T418">
        <v>1.0263530002052592</v>
      </c>
      <c r="U418">
        <v>0.78058049619174896</v>
      </c>
      <c r="V418">
        <v>-1.1296756170012053E-2</v>
      </c>
      <c r="W418">
        <v>435</v>
      </c>
      <c r="X418">
        <v>684</v>
      </c>
      <c r="Y418">
        <v>0.71004392386530024</v>
      </c>
      <c r="Z418">
        <v>0.14871478465798546</v>
      </c>
      <c r="AB418">
        <v>34.795408169927519</v>
      </c>
      <c r="AC418">
        <v>31.143811582533878</v>
      </c>
      <c r="AD418">
        <v>39.89827024179634</v>
      </c>
    </row>
    <row r="419" spans="1:30" x14ac:dyDescent="0.3">
      <c r="A419">
        <v>417</v>
      </c>
      <c r="B419" t="s">
        <v>221</v>
      </c>
      <c r="C419" t="s">
        <v>189</v>
      </c>
      <c r="D419">
        <v>2</v>
      </c>
      <c r="E419" s="7" t="s">
        <v>21</v>
      </c>
      <c r="F419">
        <v>7</v>
      </c>
      <c r="G419" t="s">
        <v>192</v>
      </c>
      <c r="H419" t="s">
        <v>654</v>
      </c>
      <c r="I419" t="s">
        <v>442</v>
      </c>
      <c r="J419">
        <v>7.0019999999999998</v>
      </c>
      <c r="K419">
        <v>1.3740000000000001</v>
      </c>
      <c r="L419">
        <v>1.74</v>
      </c>
      <c r="M419">
        <v>1.83</v>
      </c>
      <c r="N419">
        <v>1.84</v>
      </c>
      <c r="O419">
        <v>1.73</v>
      </c>
      <c r="P419">
        <f t="shared" si="6"/>
        <v>1.7850000000000001</v>
      </c>
      <c r="Q419">
        <v>3.0896632134567951E-2</v>
      </c>
      <c r="R419">
        <v>0.22586205089482014</v>
      </c>
      <c r="S419">
        <v>0.88659011677558341</v>
      </c>
      <c r="T419">
        <v>0.9261058293516341</v>
      </c>
      <c r="U419">
        <v>0.64615673265406248</v>
      </c>
      <c r="V419">
        <v>3.3339382133108858E-2</v>
      </c>
      <c r="W419">
        <v>446</v>
      </c>
      <c r="X419">
        <v>616</v>
      </c>
      <c r="Y419">
        <v>0.80858536585365859</v>
      </c>
      <c r="Z419">
        <v>9.227412299061527E-2</v>
      </c>
      <c r="AB419">
        <v>20.651846008723393</v>
      </c>
      <c r="AC419">
        <v>18.484565143770514</v>
      </c>
      <c r="AD419">
        <v>28.606937310466325</v>
      </c>
    </row>
    <row r="420" spans="1:30" x14ac:dyDescent="0.3">
      <c r="A420">
        <v>418</v>
      </c>
      <c r="B420" t="s">
        <v>221</v>
      </c>
      <c r="C420" t="s">
        <v>189</v>
      </c>
      <c r="D420">
        <v>2</v>
      </c>
      <c r="E420" s="7" t="s">
        <v>21</v>
      </c>
      <c r="F420">
        <v>10</v>
      </c>
      <c r="G420" t="s">
        <v>28</v>
      </c>
      <c r="H420" t="s">
        <v>655</v>
      </c>
      <c r="I420" t="s">
        <v>438</v>
      </c>
      <c r="J420">
        <v>1.835</v>
      </c>
      <c r="K420">
        <v>0.46600000000000003</v>
      </c>
      <c r="L420">
        <v>2.96</v>
      </c>
      <c r="M420">
        <v>2.89</v>
      </c>
      <c r="N420">
        <v>4.24</v>
      </c>
      <c r="O420">
        <v>4.49</v>
      </c>
      <c r="P420">
        <f t="shared" si="6"/>
        <v>3.645</v>
      </c>
      <c r="Q420">
        <v>3.4599097015762637E-2</v>
      </c>
      <c r="R420">
        <v>0.22433184147602514</v>
      </c>
      <c r="S420">
        <v>0.94629954557694307</v>
      </c>
      <c r="T420">
        <v>0.84233698546877556</v>
      </c>
      <c r="U420">
        <v>0.64910907864227285</v>
      </c>
      <c r="V420">
        <v>7.4514129817359942E-2</v>
      </c>
      <c r="W420">
        <v>540</v>
      </c>
      <c r="X420">
        <v>661</v>
      </c>
      <c r="Y420">
        <v>0.9129696969696971</v>
      </c>
      <c r="Z420">
        <v>3.9543637205297827E-2</v>
      </c>
      <c r="AB420">
        <v>10.688917068009108</v>
      </c>
      <c r="AC420">
        <v>9.5670676311562701</v>
      </c>
      <c r="AD420">
        <v>14.738767251826911</v>
      </c>
    </row>
    <row r="421" spans="1:30" x14ac:dyDescent="0.3">
      <c r="A421">
        <v>419</v>
      </c>
      <c r="B421" t="s">
        <v>221</v>
      </c>
      <c r="C421" t="s">
        <v>189</v>
      </c>
      <c r="D421">
        <v>2</v>
      </c>
      <c r="E421" s="7" t="s">
        <v>21</v>
      </c>
      <c r="F421">
        <v>15</v>
      </c>
      <c r="G421" t="s">
        <v>22</v>
      </c>
      <c r="H421" t="s">
        <v>656</v>
      </c>
      <c r="I421" t="s">
        <v>444</v>
      </c>
      <c r="J421">
        <v>3.552</v>
      </c>
      <c r="K421">
        <v>1.542</v>
      </c>
      <c r="L421">
        <v>5.24</v>
      </c>
      <c r="M421">
        <v>4.9000000000000004</v>
      </c>
      <c r="N421">
        <v>4.5</v>
      </c>
      <c r="O421">
        <v>5.28</v>
      </c>
      <c r="P421">
        <f t="shared" si="6"/>
        <v>4.9800000000000004</v>
      </c>
      <c r="Q421">
        <v>3.3689932944969907E-2</v>
      </c>
      <c r="R421">
        <v>0.26428482684686549</v>
      </c>
      <c r="S421">
        <v>0.8432522256449545</v>
      </c>
      <c r="T421">
        <v>0.90664856202553701</v>
      </c>
      <c r="U421">
        <v>0.57792776992102413</v>
      </c>
      <c r="V421">
        <v>4.2561022918085271E-2</v>
      </c>
      <c r="W421">
        <v>534</v>
      </c>
      <c r="X421">
        <v>741</v>
      </c>
      <c r="Y421">
        <v>0.80518918918918925</v>
      </c>
      <c r="Z421">
        <v>9.4102064765746368E-2</v>
      </c>
      <c r="AB421">
        <v>21.05353771396846</v>
      </c>
      <c r="AC421">
        <v>18.844103218218137</v>
      </c>
      <c r="AD421">
        <v>32.606329370179338</v>
      </c>
    </row>
    <row r="422" spans="1:30" x14ac:dyDescent="0.3">
      <c r="A422">
        <v>420</v>
      </c>
      <c r="B422" t="s">
        <v>221</v>
      </c>
      <c r="C422" t="s">
        <v>189</v>
      </c>
      <c r="D422">
        <v>2</v>
      </c>
      <c r="E422" s="7" t="s">
        <v>21</v>
      </c>
      <c r="F422">
        <v>16</v>
      </c>
      <c r="G422" t="s">
        <v>23</v>
      </c>
      <c r="H422" t="s">
        <v>657</v>
      </c>
      <c r="I422" t="s">
        <v>430</v>
      </c>
      <c r="J422">
        <v>1.667</v>
      </c>
      <c r="K422">
        <v>0.307</v>
      </c>
      <c r="L422">
        <v>1.1000000000000001</v>
      </c>
      <c r="M422">
        <v>1.17</v>
      </c>
      <c r="N422">
        <v>1.33</v>
      </c>
      <c r="O422">
        <v>1.1299999999999999</v>
      </c>
      <c r="P422">
        <f t="shared" si="6"/>
        <v>1.1825000000000001</v>
      </c>
      <c r="Q422">
        <v>4.9035806116519601E-2</v>
      </c>
      <c r="R422">
        <v>0.1084597151481156</v>
      </c>
      <c r="S422">
        <v>0.82975586904002441</v>
      </c>
      <c r="T422">
        <v>0.95531036237193023</v>
      </c>
      <c r="U422">
        <v>0.96473154050321919</v>
      </c>
      <c r="V422">
        <v>1.9855511381702003E-2</v>
      </c>
      <c r="W422">
        <v>451</v>
      </c>
      <c r="X422">
        <v>672</v>
      </c>
      <c r="Y422">
        <v>0.74944858420268268</v>
      </c>
      <c r="Z422">
        <v>0.12525815649548722</v>
      </c>
      <c r="AB422">
        <v>28.480450936758203</v>
      </c>
      <c r="AC422">
        <v>25.491605361684421</v>
      </c>
      <c r="AD422">
        <v>26.423522287234018</v>
      </c>
    </row>
    <row r="423" spans="1:30" x14ac:dyDescent="0.3">
      <c r="A423">
        <v>421</v>
      </c>
      <c r="B423" t="s">
        <v>221</v>
      </c>
      <c r="C423" t="s">
        <v>189</v>
      </c>
      <c r="D423">
        <v>3</v>
      </c>
      <c r="E423" s="7" t="s">
        <v>21</v>
      </c>
      <c r="F423">
        <v>4</v>
      </c>
      <c r="G423" t="s">
        <v>24</v>
      </c>
      <c r="H423" t="s">
        <v>658</v>
      </c>
      <c r="I423" t="s">
        <v>434</v>
      </c>
      <c r="J423">
        <v>1.3</v>
      </c>
      <c r="K423">
        <v>0.34599999999999997</v>
      </c>
      <c r="L423">
        <v>3.05</v>
      </c>
      <c r="M423">
        <v>3.21</v>
      </c>
      <c r="N423">
        <v>3.38</v>
      </c>
      <c r="O423">
        <v>2.68</v>
      </c>
      <c r="P423">
        <f t="shared" si="6"/>
        <v>3.08</v>
      </c>
      <c r="Q423">
        <v>2.3476989526886111E-2</v>
      </c>
      <c r="R423">
        <v>0.15368253755416381</v>
      </c>
      <c r="S423">
        <v>1.0423909415359334</v>
      </c>
      <c r="T423">
        <v>0.78436008700011117</v>
      </c>
      <c r="U423">
        <v>0.8133754771633297</v>
      </c>
      <c r="V423">
        <v>0.10548451398006935</v>
      </c>
      <c r="W423">
        <v>624</v>
      </c>
      <c r="X423">
        <v>713</v>
      </c>
      <c r="Y423">
        <v>0.97842696629213488</v>
      </c>
      <c r="Z423">
        <v>9.4715862758560365E-3</v>
      </c>
      <c r="AB423">
        <v>6.4132626134539699</v>
      </c>
      <c r="AC423">
        <v>5.7399853015609521</v>
      </c>
      <c r="AD423">
        <v>7.0569933108621807</v>
      </c>
    </row>
    <row r="424" spans="1:30" x14ac:dyDescent="0.3">
      <c r="A424">
        <v>422</v>
      </c>
      <c r="B424" t="s">
        <v>221</v>
      </c>
      <c r="C424" t="s">
        <v>189</v>
      </c>
      <c r="D424">
        <v>3</v>
      </c>
      <c r="E424" s="7" t="s">
        <v>21</v>
      </c>
      <c r="F424">
        <v>1</v>
      </c>
      <c r="G424" t="s">
        <v>29</v>
      </c>
      <c r="H424" t="s">
        <v>659</v>
      </c>
      <c r="I424" t="s">
        <v>451</v>
      </c>
      <c r="J424">
        <v>0.66500000000000004</v>
      </c>
      <c r="K424">
        <v>0.224</v>
      </c>
      <c r="L424">
        <v>3.46</v>
      </c>
      <c r="M424">
        <v>3.8</v>
      </c>
      <c r="N424">
        <v>3.97</v>
      </c>
      <c r="O424">
        <v>3.6</v>
      </c>
      <c r="P424">
        <f t="shared" si="6"/>
        <v>3.7075</v>
      </c>
      <c r="Q424">
        <v>4.1573835620527487E-2</v>
      </c>
      <c r="R424">
        <v>5.2634861763056109E-2</v>
      </c>
      <c r="S424">
        <v>0.82057037971485802</v>
      </c>
      <c r="T424">
        <v>0.75876325432411684</v>
      </c>
      <c r="U424">
        <v>1.2787265133315679</v>
      </c>
      <c r="V424">
        <v>0.11989370945270089</v>
      </c>
      <c r="W424">
        <v>562</v>
      </c>
      <c r="X424">
        <v>657</v>
      </c>
      <c r="Y424">
        <v>0.95609756097560983</v>
      </c>
      <c r="Z424">
        <v>1.9497789699278213E-2</v>
      </c>
      <c r="AB424">
        <v>7.7252921002177697</v>
      </c>
      <c r="AC424">
        <v>6.9143744541812255</v>
      </c>
      <c r="AD424">
        <v>5.4072347621593106</v>
      </c>
    </row>
    <row r="425" spans="1:30" x14ac:dyDescent="0.3">
      <c r="A425">
        <v>423</v>
      </c>
      <c r="B425" t="s">
        <v>221</v>
      </c>
      <c r="C425" t="s">
        <v>189</v>
      </c>
      <c r="D425">
        <v>3</v>
      </c>
      <c r="E425" s="7" t="s">
        <v>21</v>
      </c>
      <c r="F425">
        <v>7</v>
      </c>
      <c r="G425" t="s">
        <v>28</v>
      </c>
      <c r="H425" t="s">
        <v>660</v>
      </c>
      <c r="I425" t="s">
        <v>438</v>
      </c>
      <c r="J425">
        <v>3.1040000000000001</v>
      </c>
      <c r="K425">
        <v>1.109</v>
      </c>
      <c r="L425">
        <v>7.89</v>
      </c>
      <c r="M425">
        <v>5.41</v>
      </c>
      <c r="N425">
        <v>5.19</v>
      </c>
      <c r="O425">
        <v>7.26</v>
      </c>
      <c r="P425">
        <f t="shared" si="6"/>
        <v>6.4375</v>
      </c>
      <c r="Q425">
        <v>3.4565219653848525E-2</v>
      </c>
      <c r="R425">
        <v>6.8401487021233831E-2</v>
      </c>
      <c r="S425">
        <v>0.84014966666722413</v>
      </c>
      <c r="T425">
        <v>0.8462401147623978</v>
      </c>
      <c r="U425">
        <v>1.1649344567872448</v>
      </c>
      <c r="V425">
        <v>7.2506391428474301E-2</v>
      </c>
      <c r="W425">
        <v>458</v>
      </c>
      <c r="X425">
        <v>607</v>
      </c>
      <c r="Y425">
        <v>0.84277227722772285</v>
      </c>
      <c r="Z425">
        <v>7.4289758831669564E-2</v>
      </c>
      <c r="AB425">
        <v>16.900983572100593</v>
      </c>
      <c r="AC425">
        <v>15.127309156169304</v>
      </c>
      <c r="AD425">
        <v>12.985545296590059</v>
      </c>
    </row>
    <row r="426" spans="1:30" x14ac:dyDescent="0.3">
      <c r="A426">
        <v>424</v>
      </c>
      <c r="B426" t="s">
        <v>221</v>
      </c>
      <c r="C426" t="s">
        <v>189</v>
      </c>
      <c r="D426">
        <v>3</v>
      </c>
      <c r="E426" s="7" t="s">
        <v>21</v>
      </c>
      <c r="F426">
        <v>8</v>
      </c>
      <c r="G426" t="s">
        <v>27</v>
      </c>
      <c r="H426" t="s">
        <v>661</v>
      </c>
      <c r="I426" t="s">
        <v>440</v>
      </c>
      <c r="J426">
        <v>1.6060000000000001</v>
      </c>
      <c r="K426">
        <v>0.40400000000000003</v>
      </c>
      <c r="L426">
        <v>2.21</v>
      </c>
      <c r="M426">
        <v>2.0099999999999998</v>
      </c>
      <c r="N426">
        <v>2.35</v>
      </c>
      <c r="O426">
        <v>1.92</v>
      </c>
      <c r="P426">
        <f t="shared" si="6"/>
        <v>2.1225000000000001</v>
      </c>
      <c r="Q426">
        <v>2.297501442187045E-2</v>
      </c>
      <c r="R426">
        <v>4.189618519671489E-2</v>
      </c>
      <c r="S426">
        <v>0.70664815410416049</v>
      </c>
      <c r="T426">
        <v>0.84763195705641503</v>
      </c>
      <c r="U426">
        <v>1.3778255193592539</v>
      </c>
      <c r="V426">
        <v>7.1792678068333809E-2</v>
      </c>
      <c r="W426">
        <v>506</v>
      </c>
      <c r="X426">
        <v>710</v>
      </c>
      <c r="Y426">
        <v>0.79616361071932307</v>
      </c>
      <c r="Z426">
        <v>9.8997676067359597E-2</v>
      </c>
      <c r="AB426">
        <v>22.147940582696631</v>
      </c>
      <c r="AC426">
        <v>19.823658243034444</v>
      </c>
      <c r="AD426">
        <v>14.387640499105625</v>
      </c>
    </row>
    <row r="427" spans="1:30" x14ac:dyDescent="0.3">
      <c r="A427">
        <v>425</v>
      </c>
      <c r="B427" t="s">
        <v>221</v>
      </c>
      <c r="C427" t="s">
        <v>189</v>
      </c>
      <c r="D427">
        <v>3</v>
      </c>
      <c r="E427" s="7" t="s">
        <v>21</v>
      </c>
      <c r="F427">
        <v>5</v>
      </c>
      <c r="G427" t="s">
        <v>22</v>
      </c>
      <c r="H427" t="s">
        <v>662</v>
      </c>
      <c r="I427" t="s">
        <v>444</v>
      </c>
      <c r="J427">
        <v>1.1419999999999999</v>
      </c>
      <c r="K427">
        <v>0.52500000000000002</v>
      </c>
      <c r="L427">
        <v>4.5</v>
      </c>
      <c r="M427">
        <v>5.71</v>
      </c>
      <c r="N427">
        <v>5.35</v>
      </c>
      <c r="O427">
        <v>4.53</v>
      </c>
      <c r="P427">
        <f t="shared" si="6"/>
        <v>5.0225</v>
      </c>
      <c r="Q427">
        <v>3.6862134250201038E-2</v>
      </c>
      <c r="R427">
        <v>4.9349170392392602E-2</v>
      </c>
      <c r="S427">
        <v>0.82659197827246722</v>
      </c>
      <c r="T427">
        <v>0.74870735577283343</v>
      </c>
      <c r="U427">
        <v>1.3067201438461067</v>
      </c>
      <c r="V427">
        <v>0.12568790006835623</v>
      </c>
      <c r="W427">
        <v>602</v>
      </c>
      <c r="X427">
        <v>718</v>
      </c>
      <c r="Y427">
        <v>0.93723849372384938</v>
      </c>
      <c r="Z427">
        <v>2.8149882613974875E-2</v>
      </c>
      <c r="AB427">
        <v>8.9487677526454021</v>
      </c>
      <c r="AC427">
        <v>8.0094920083558065</v>
      </c>
      <c r="AD427">
        <v>6.1294624147916172</v>
      </c>
    </row>
    <row r="428" spans="1:30" x14ac:dyDescent="0.3">
      <c r="A428">
        <v>426</v>
      </c>
      <c r="B428" t="s">
        <v>221</v>
      </c>
      <c r="C428" t="s">
        <v>189</v>
      </c>
      <c r="D428">
        <v>3</v>
      </c>
      <c r="E428" s="7" t="s">
        <v>21</v>
      </c>
      <c r="F428">
        <v>13</v>
      </c>
      <c r="G428" t="s">
        <v>25</v>
      </c>
      <c r="H428" t="s">
        <v>663</v>
      </c>
      <c r="I428" t="s">
        <v>432</v>
      </c>
      <c r="J428">
        <v>0.90900000000000003</v>
      </c>
      <c r="K428">
        <v>0.22</v>
      </c>
      <c r="L428">
        <v>1.1599999999999999</v>
      </c>
      <c r="M428">
        <v>0.92</v>
      </c>
      <c r="N428">
        <v>1.1000000000000001</v>
      </c>
      <c r="O428">
        <v>1.35</v>
      </c>
      <c r="P428">
        <f t="shared" si="6"/>
        <v>1.1325000000000001</v>
      </c>
      <c r="Q428">
        <v>3.5192735269469776E-2</v>
      </c>
      <c r="R428">
        <v>5.5695028144629136E-2</v>
      </c>
      <c r="S428">
        <v>0.73998017182165465</v>
      </c>
      <c r="T428">
        <v>0.86478601558257506</v>
      </c>
      <c r="U428">
        <v>1.2541835722540422</v>
      </c>
      <c r="V428">
        <v>6.3091341955331184E-2</v>
      </c>
      <c r="W428">
        <v>551</v>
      </c>
      <c r="X428">
        <v>723</v>
      </c>
      <c r="Y428">
        <v>0.85163434903047097</v>
      </c>
      <c r="Z428">
        <v>6.9746830449365568E-2</v>
      </c>
      <c r="AB428">
        <v>16.011292825777112</v>
      </c>
      <c r="AC428">
        <v>14.330977376847983</v>
      </c>
      <c r="AD428">
        <v>11.426538900594975</v>
      </c>
    </row>
    <row r="429" spans="1:30" x14ac:dyDescent="0.3">
      <c r="A429">
        <v>427</v>
      </c>
      <c r="B429" t="s">
        <v>221</v>
      </c>
      <c r="C429" t="s">
        <v>189</v>
      </c>
      <c r="D429">
        <v>3</v>
      </c>
      <c r="E429" s="7" t="s">
        <v>21</v>
      </c>
      <c r="F429">
        <v>16</v>
      </c>
      <c r="G429" t="s">
        <v>26</v>
      </c>
      <c r="H429" s="10" t="s">
        <v>664</v>
      </c>
      <c r="I429" s="10" t="s">
        <v>436</v>
      </c>
      <c r="J429">
        <v>3.23</v>
      </c>
      <c r="K429">
        <v>1.07</v>
      </c>
      <c r="L429">
        <v>1.35</v>
      </c>
      <c r="M429">
        <v>1.56</v>
      </c>
      <c r="N429">
        <v>1.29</v>
      </c>
      <c r="O429">
        <v>1.4</v>
      </c>
      <c r="P429">
        <f t="shared" si="6"/>
        <v>1.4</v>
      </c>
      <c r="Q429">
        <v>2.2931909329146495E-2</v>
      </c>
      <c r="R429">
        <v>3.0635590272288751E-2</v>
      </c>
      <c r="S429">
        <v>0.71669220368797715</v>
      </c>
      <c r="T429">
        <v>0.92944596698503712</v>
      </c>
      <c r="U429">
        <v>1.5137737474675528</v>
      </c>
      <c r="V429">
        <v>3.177585271545709E-2</v>
      </c>
      <c r="W429">
        <v>298</v>
      </c>
      <c r="X429">
        <v>478</v>
      </c>
      <c r="Y429">
        <v>0.6950104821802936</v>
      </c>
      <c r="Z429">
        <v>0.15800864531099368</v>
      </c>
      <c r="AB429">
        <v>37.469375597618082</v>
      </c>
      <c r="AC429">
        <v>33.537140730057416</v>
      </c>
      <c r="AD429">
        <v>22.154658703893446</v>
      </c>
    </row>
    <row r="430" spans="1:30" x14ac:dyDescent="0.3">
      <c r="A430">
        <v>428</v>
      </c>
      <c r="B430" t="s">
        <v>221</v>
      </c>
      <c r="C430" t="s">
        <v>189</v>
      </c>
      <c r="D430">
        <v>4</v>
      </c>
      <c r="E430" s="7" t="s">
        <v>21</v>
      </c>
      <c r="F430">
        <v>1</v>
      </c>
      <c r="G430" t="s">
        <v>22</v>
      </c>
      <c r="H430" s="10" t="s">
        <v>665</v>
      </c>
      <c r="I430" s="10" t="s">
        <v>444</v>
      </c>
      <c r="J430">
        <v>2.1859999999999999</v>
      </c>
      <c r="K430">
        <v>0.79800000000000004</v>
      </c>
      <c r="L430">
        <v>5.0599999999999996</v>
      </c>
      <c r="M430">
        <v>4.01</v>
      </c>
      <c r="N430">
        <v>4.51</v>
      </c>
      <c r="O430">
        <v>4.0199999999999996</v>
      </c>
      <c r="P430">
        <f t="shared" si="6"/>
        <v>4.4000000000000004</v>
      </c>
      <c r="Q430">
        <v>2.3952004061209252E-2</v>
      </c>
      <c r="R430">
        <v>8.5115671519195663E-2</v>
      </c>
      <c r="S430">
        <v>0.88174397460331144</v>
      </c>
      <c r="T430">
        <v>0.70009444104044083</v>
      </c>
      <c r="U430">
        <v>1.069990470142145</v>
      </c>
      <c r="V430">
        <v>0.1548433707626328</v>
      </c>
      <c r="W430">
        <v>595</v>
      </c>
      <c r="X430">
        <v>740</v>
      </c>
      <c r="Y430">
        <v>0.89872801082543985</v>
      </c>
      <c r="Z430">
        <v>4.6371722360381486E-2</v>
      </c>
      <c r="AB430">
        <v>11.802021846406396</v>
      </c>
      <c r="AC430">
        <v>10.563382196474269</v>
      </c>
      <c r="AD430">
        <v>9.872407737492237</v>
      </c>
    </row>
    <row r="431" spans="1:30" x14ac:dyDescent="0.3">
      <c r="A431">
        <v>429</v>
      </c>
      <c r="B431" t="s">
        <v>221</v>
      </c>
      <c r="C431" t="s">
        <v>189</v>
      </c>
      <c r="D431">
        <v>4</v>
      </c>
      <c r="E431" s="7" t="s">
        <v>21</v>
      </c>
      <c r="F431">
        <v>8</v>
      </c>
      <c r="G431" t="s">
        <v>26</v>
      </c>
      <c r="H431" s="10" t="s">
        <v>666</v>
      </c>
      <c r="I431" s="10" t="s">
        <v>436</v>
      </c>
      <c r="J431">
        <v>3.77</v>
      </c>
      <c r="K431">
        <v>1</v>
      </c>
      <c r="L431">
        <v>2</v>
      </c>
      <c r="M431">
        <v>1.67</v>
      </c>
      <c r="N431">
        <v>1.84</v>
      </c>
      <c r="O431">
        <v>2.0099999999999998</v>
      </c>
      <c r="P431">
        <f t="shared" si="6"/>
        <v>1.88</v>
      </c>
      <c r="Q431">
        <v>4.5115740610544491E-2</v>
      </c>
      <c r="R431">
        <v>0.12679882550296406</v>
      </c>
      <c r="S431">
        <v>0.84288410564535998</v>
      </c>
      <c r="T431">
        <v>0.986425426832923</v>
      </c>
      <c r="U431">
        <v>0.89688476916677862</v>
      </c>
      <c r="V431">
        <v>5.9357415715840618E-3</v>
      </c>
      <c r="W431">
        <v>391</v>
      </c>
      <c r="X431">
        <v>594</v>
      </c>
      <c r="Y431">
        <v>0.73470489038785847</v>
      </c>
      <c r="Z431">
        <v>0.13388706936837319</v>
      </c>
      <c r="AB431">
        <v>30.731259281489834</v>
      </c>
      <c r="AC431">
        <v>27.506195643671411</v>
      </c>
      <c r="AD431">
        <v>30.668594884519155</v>
      </c>
    </row>
    <row r="432" spans="1:30" x14ac:dyDescent="0.3">
      <c r="A432">
        <v>430</v>
      </c>
      <c r="B432" t="s">
        <v>221</v>
      </c>
      <c r="C432" t="s">
        <v>189</v>
      </c>
      <c r="D432">
        <v>4</v>
      </c>
      <c r="E432" s="7" t="s">
        <v>21</v>
      </c>
      <c r="F432">
        <v>16</v>
      </c>
      <c r="G432" t="s">
        <v>27</v>
      </c>
      <c r="H432" s="10" t="s">
        <v>667</v>
      </c>
      <c r="I432" s="10" t="s">
        <v>440</v>
      </c>
      <c r="J432">
        <v>1.2969999999999999</v>
      </c>
      <c r="K432">
        <v>0.28999999999999998</v>
      </c>
      <c r="L432">
        <v>2.0299999999999998</v>
      </c>
      <c r="M432">
        <v>2.33</v>
      </c>
      <c r="N432">
        <v>1.81</v>
      </c>
      <c r="O432">
        <v>2.2599999999999998</v>
      </c>
      <c r="P432">
        <f t="shared" si="6"/>
        <v>2.1074999999999999</v>
      </c>
      <c r="Q432">
        <v>2.3709040441738518E-2</v>
      </c>
      <c r="R432">
        <v>6.364568348389292E-2</v>
      </c>
      <c r="S432">
        <v>0.77178652959280869</v>
      </c>
      <c r="T432">
        <v>0.83123260744747485</v>
      </c>
      <c r="U432">
        <v>1.1962310453126808</v>
      </c>
      <c r="V432">
        <v>8.0277428688672034E-2</v>
      </c>
      <c r="W432">
        <v>521</v>
      </c>
      <c r="X432">
        <v>700</v>
      </c>
      <c r="Y432">
        <v>0.83158798283261814</v>
      </c>
      <c r="Z432">
        <v>8.0091795227041879E-2</v>
      </c>
      <c r="AB432">
        <v>18.071154588099368</v>
      </c>
      <c r="AC432">
        <v>16.174687344844557</v>
      </c>
      <c r="AD432">
        <v>13.521373992276454</v>
      </c>
    </row>
    <row r="433" spans="1:31" x14ac:dyDescent="0.3">
      <c r="A433">
        <v>431</v>
      </c>
      <c r="B433" t="s">
        <v>221</v>
      </c>
      <c r="C433" t="s">
        <v>189</v>
      </c>
      <c r="D433">
        <v>4</v>
      </c>
      <c r="E433" s="7" t="s">
        <v>21</v>
      </c>
      <c r="F433">
        <v>13</v>
      </c>
      <c r="G433" t="s">
        <v>29</v>
      </c>
      <c r="H433" s="10" t="s">
        <v>668</v>
      </c>
      <c r="I433" s="10" t="s">
        <v>451</v>
      </c>
      <c r="J433">
        <v>0.66700000000000004</v>
      </c>
      <c r="K433">
        <v>0.19800000000000001</v>
      </c>
      <c r="L433">
        <v>3.17</v>
      </c>
      <c r="M433">
        <v>2.85</v>
      </c>
      <c r="N433">
        <v>2.63</v>
      </c>
      <c r="O433">
        <v>2.78</v>
      </c>
      <c r="P433">
        <f t="shared" si="6"/>
        <v>2.8574999999999995</v>
      </c>
      <c r="Q433">
        <v>2.8994298643098507E-2</v>
      </c>
      <c r="R433">
        <v>0.10926015585031573</v>
      </c>
      <c r="S433">
        <v>0.76493772358064049</v>
      </c>
      <c r="T433">
        <v>0.82729246568584913</v>
      </c>
      <c r="U433">
        <v>0.96153818433686877</v>
      </c>
      <c r="V433">
        <v>8.2340930859329337E-2</v>
      </c>
      <c r="W433">
        <v>595</v>
      </c>
      <c r="X433">
        <v>711</v>
      </c>
      <c r="Y433">
        <v>0.93543661971830994</v>
      </c>
      <c r="Z433">
        <v>2.8985632684631033E-2</v>
      </c>
      <c r="AB433">
        <v>9.0714274741912977</v>
      </c>
      <c r="AC433">
        <v>8.1192828244256017</v>
      </c>
      <c r="AD433">
        <v>8.4440565717367946</v>
      </c>
    </row>
    <row r="434" spans="1:31" x14ac:dyDescent="0.3">
      <c r="A434">
        <v>432</v>
      </c>
      <c r="B434" t="s">
        <v>222</v>
      </c>
      <c r="C434" t="s">
        <v>189</v>
      </c>
      <c r="D434">
        <v>1</v>
      </c>
      <c r="E434" s="7" t="s">
        <v>21</v>
      </c>
      <c r="F434">
        <v>5</v>
      </c>
      <c r="G434" t="s">
        <v>28</v>
      </c>
      <c r="H434" t="s">
        <v>669</v>
      </c>
      <c r="I434" t="s">
        <v>438</v>
      </c>
      <c r="J434">
        <v>1.3089999999999999</v>
      </c>
      <c r="K434">
        <v>0.46800000000000003</v>
      </c>
      <c r="L434">
        <v>3.71</v>
      </c>
      <c r="M434">
        <v>3.35</v>
      </c>
      <c r="N434">
        <v>3.59</v>
      </c>
      <c r="O434">
        <v>3.88</v>
      </c>
      <c r="P434">
        <f t="shared" si="6"/>
        <v>3.6325000000000003</v>
      </c>
      <c r="Q434">
        <v>3.4304092880985342E-2</v>
      </c>
      <c r="R434">
        <v>5.2227360109120595E-2</v>
      </c>
      <c r="S434">
        <v>0.72908156451445794</v>
      </c>
      <c r="T434">
        <v>0.8982124816263275</v>
      </c>
      <c r="U434">
        <v>1.2821019255131227</v>
      </c>
      <c r="V434">
        <v>4.6620914243493509E-2</v>
      </c>
      <c r="W434">
        <v>348</v>
      </c>
      <c r="X434">
        <v>551</v>
      </c>
      <c r="Y434">
        <v>0.68607099143206862</v>
      </c>
      <c r="Z434">
        <v>0.16363094319700788</v>
      </c>
      <c r="AB434">
        <v>39.134344702031825</v>
      </c>
      <c r="AC434">
        <v>35.027366164334623</v>
      </c>
      <c r="AD434">
        <v>27.320266405743034</v>
      </c>
      <c r="AE434" t="s">
        <v>226</v>
      </c>
    </row>
    <row r="435" spans="1:31" x14ac:dyDescent="0.3">
      <c r="A435">
        <v>433</v>
      </c>
      <c r="B435" t="s">
        <v>222</v>
      </c>
      <c r="C435" t="s">
        <v>189</v>
      </c>
      <c r="D435">
        <v>1</v>
      </c>
      <c r="E435" s="7" t="s">
        <v>21</v>
      </c>
      <c r="F435">
        <v>7</v>
      </c>
      <c r="G435" t="s">
        <v>24</v>
      </c>
      <c r="H435" t="s">
        <v>670</v>
      </c>
      <c r="I435" t="s">
        <v>434</v>
      </c>
      <c r="J435">
        <v>1.425</v>
      </c>
      <c r="K435">
        <v>0.63700000000000001</v>
      </c>
      <c r="L435">
        <v>3.89</v>
      </c>
      <c r="M435">
        <v>4.79</v>
      </c>
      <c r="N435">
        <v>4.1500000000000004</v>
      </c>
      <c r="O435">
        <v>3.63</v>
      </c>
      <c r="P435">
        <f t="shared" si="6"/>
        <v>4.1150000000000002</v>
      </c>
      <c r="Q435">
        <v>3.3419468263573525E-2</v>
      </c>
      <c r="R435">
        <v>5.2468029373141913E-2</v>
      </c>
      <c r="S435">
        <v>0.73594883485242002</v>
      </c>
      <c r="T435">
        <v>0.90255457312481668</v>
      </c>
      <c r="U435">
        <v>1.2801052469974319</v>
      </c>
      <c r="V435">
        <v>4.4526528934307946E-2</v>
      </c>
      <c r="W435">
        <v>383</v>
      </c>
      <c r="X435">
        <v>620</v>
      </c>
      <c r="Y435">
        <v>0.67125877209460516</v>
      </c>
      <c r="Z435">
        <v>0.17311002584003937</v>
      </c>
      <c r="AB435">
        <v>42.022287667169962</v>
      </c>
      <c r="AC435">
        <v>37.612207573617027</v>
      </c>
      <c r="AD435">
        <v>29.382121244982667</v>
      </c>
      <c r="AE435" t="s">
        <v>226</v>
      </c>
    </row>
    <row r="436" spans="1:31" x14ac:dyDescent="0.3">
      <c r="A436">
        <v>434</v>
      </c>
      <c r="B436" t="s">
        <v>222</v>
      </c>
      <c r="C436" t="s">
        <v>189</v>
      </c>
      <c r="D436">
        <v>1</v>
      </c>
      <c r="E436" s="7" t="s">
        <v>21</v>
      </c>
      <c r="F436">
        <v>11</v>
      </c>
      <c r="G436" t="s">
        <v>26</v>
      </c>
      <c r="H436" t="s">
        <v>671</v>
      </c>
      <c r="I436" t="s">
        <v>436</v>
      </c>
      <c r="J436">
        <v>2.6970000000000001</v>
      </c>
      <c r="K436">
        <v>0.98199999999999998</v>
      </c>
      <c r="L436">
        <v>1.45</v>
      </c>
      <c r="M436">
        <v>1.55</v>
      </c>
      <c r="N436">
        <v>1.58</v>
      </c>
      <c r="O436">
        <v>1.65</v>
      </c>
      <c r="P436">
        <f t="shared" si="6"/>
        <v>1.5575000000000001</v>
      </c>
      <c r="Q436">
        <v>4.8152782229234976E-2</v>
      </c>
      <c r="R436">
        <v>0.11985835899211711</v>
      </c>
      <c r="S436">
        <v>0.7499355130327563</v>
      </c>
      <c r="T436">
        <v>1.0278965901642483</v>
      </c>
      <c r="U436">
        <v>0.92133167262273941</v>
      </c>
      <c r="V436">
        <v>-1.194942537907211E-2</v>
      </c>
      <c r="W436">
        <v>309</v>
      </c>
      <c r="X436">
        <v>573</v>
      </c>
      <c r="Y436">
        <v>0.58532624046699933</v>
      </c>
      <c r="Z436">
        <v>0.23260200581137844</v>
      </c>
      <c r="AB436">
        <v>62.464573917081488</v>
      </c>
      <c r="AC436">
        <v>55.90890813106985</v>
      </c>
      <c r="AD436">
        <v>60.682715890917869</v>
      </c>
      <c r="AE436" t="s">
        <v>226</v>
      </c>
    </row>
    <row r="437" spans="1:31" x14ac:dyDescent="0.3">
      <c r="A437">
        <v>435</v>
      </c>
      <c r="B437" t="s">
        <v>222</v>
      </c>
      <c r="C437" t="s">
        <v>189</v>
      </c>
      <c r="D437">
        <v>1</v>
      </c>
      <c r="E437" s="7" t="s">
        <v>21</v>
      </c>
      <c r="F437">
        <v>12</v>
      </c>
      <c r="G437" t="s">
        <v>23</v>
      </c>
      <c r="H437" t="s">
        <v>672</v>
      </c>
      <c r="I437" t="s">
        <v>430</v>
      </c>
      <c r="J437">
        <v>0.96599999999999997</v>
      </c>
      <c r="K437">
        <v>0.28299999999999997</v>
      </c>
      <c r="L437">
        <v>2.3199999999999998</v>
      </c>
      <c r="M437">
        <v>2.21</v>
      </c>
      <c r="N437">
        <v>2.2799999999999998</v>
      </c>
      <c r="O437">
        <v>2.0699999999999998</v>
      </c>
      <c r="P437">
        <f t="shared" si="6"/>
        <v>2.2199999999999998</v>
      </c>
      <c r="Q437">
        <v>4.014918627287712E-2</v>
      </c>
      <c r="R437">
        <v>9.5491593513491055E-2</v>
      </c>
      <c r="S437">
        <v>0.71895439439418163</v>
      </c>
      <c r="T437">
        <v>0.96319282957654972</v>
      </c>
      <c r="U437">
        <v>1.0200348593209572</v>
      </c>
      <c r="V437">
        <v>1.6286759149922371E-2</v>
      </c>
      <c r="W437">
        <v>369</v>
      </c>
      <c r="X437">
        <v>628</v>
      </c>
      <c r="Y437">
        <v>0.63834310378148551</v>
      </c>
      <c r="Z437">
        <v>0.19494582907416783</v>
      </c>
      <c r="AB437">
        <v>49.061036064890217</v>
      </c>
      <c r="AC437">
        <v>43.912196353194091</v>
      </c>
      <c r="AD437">
        <v>43.049701637085896</v>
      </c>
      <c r="AE437" t="s">
        <v>226</v>
      </c>
    </row>
    <row r="438" spans="1:31" x14ac:dyDescent="0.3">
      <c r="A438">
        <v>436</v>
      </c>
      <c r="B438" t="s">
        <v>222</v>
      </c>
      <c r="C438" t="s">
        <v>189</v>
      </c>
      <c r="D438">
        <v>1</v>
      </c>
      <c r="E438" s="7" t="s">
        <v>21</v>
      </c>
      <c r="F438">
        <v>13</v>
      </c>
      <c r="G438" t="s">
        <v>192</v>
      </c>
      <c r="H438" t="s">
        <v>673</v>
      </c>
      <c r="I438" t="s">
        <v>442</v>
      </c>
      <c r="J438">
        <v>0.59599999999999997</v>
      </c>
      <c r="K438">
        <v>0.157</v>
      </c>
      <c r="L438">
        <v>2.4900000000000002</v>
      </c>
      <c r="M438">
        <v>2.7</v>
      </c>
      <c r="N438">
        <v>2.14</v>
      </c>
      <c r="O438">
        <v>2.2400000000000002</v>
      </c>
      <c r="P438">
        <f t="shared" si="6"/>
        <v>2.3925000000000001</v>
      </c>
      <c r="Q438">
        <v>3.664103837268317E-2</v>
      </c>
      <c r="R438">
        <v>8.3252254187228897E-2</v>
      </c>
      <c r="S438">
        <v>0.86132918348997767</v>
      </c>
      <c r="T438">
        <v>0.8981358835924933</v>
      </c>
      <c r="U438">
        <v>1.0796039984484194</v>
      </c>
      <c r="V438">
        <v>4.6657951718053696E-2</v>
      </c>
      <c r="W438">
        <v>465</v>
      </c>
      <c r="X438">
        <v>621</v>
      </c>
      <c r="Y438">
        <v>0.81441347178899992</v>
      </c>
      <c r="Z438">
        <v>8.9155050975841421E-2</v>
      </c>
      <c r="AB438">
        <v>19.975141054962691</v>
      </c>
      <c r="AC438">
        <v>17.87887334791359</v>
      </c>
      <c r="AD438">
        <v>16.560584597323345</v>
      </c>
      <c r="AE438" t="s">
        <v>226</v>
      </c>
    </row>
    <row r="439" spans="1:31" x14ac:dyDescent="0.3">
      <c r="A439">
        <v>437</v>
      </c>
      <c r="B439" t="s">
        <v>222</v>
      </c>
      <c r="C439" t="s">
        <v>189</v>
      </c>
      <c r="D439">
        <v>2</v>
      </c>
      <c r="E439" s="7" t="s">
        <v>21</v>
      </c>
      <c r="F439">
        <v>1</v>
      </c>
      <c r="G439" t="s">
        <v>24</v>
      </c>
      <c r="H439" s="13"/>
      <c r="I439" s="13"/>
      <c r="J439">
        <v>1.2729999999999999</v>
      </c>
      <c r="K439">
        <v>0.47499999999999998</v>
      </c>
      <c r="L439">
        <v>5.49</v>
      </c>
      <c r="M439">
        <v>3.43</v>
      </c>
      <c r="N439">
        <v>5.0199999999999996</v>
      </c>
      <c r="O439">
        <v>4.92</v>
      </c>
      <c r="P439">
        <f t="shared" si="6"/>
        <v>4.7149999999999999</v>
      </c>
      <c r="Q439">
        <v>3.3729661136987707E-2</v>
      </c>
      <c r="R439">
        <v>9.030745433034687E-2</v>
      </c>
      <c r="S439">
        <v>0.71442287750483791</v>
      </c>
      <c r="T439">
        <v>0.95259831636589554</v>
      </c>
      <c r="U439">
        <v>1.0442763998424247</v>
      </c>
      <c r="V439">
        <v>2.1090190401215271E-2</v>
      </c>
      <c r="W439">
        <v>369</v>
      </c>
      <c r="X439">
        <v>652</v>
      </c>
      <c r="Y439">
        <v>0.61480971746696078</v>
      </c>
      <c r="Z439">
        <v>0.21125927681164328</v>
      </c>
      <c r="AB439">
        <v>54.671110036786999</v>
      </c>
      <c r="AC439">
        <v>48.933446880512903</v>
      </c>
      <c r="AD439">
        <v>46.858711819875161</v>
      </c>
      <c r="AE439" t="s">
        <v>226</v>
      </c>
    </row>
    <row r="440" spans="1:31" x14ac:dyDescent="0.3">
      <c r="A440">
        <v>438</v>
      </c>
      <c r="B440" t="s">
        <v>222</v>
      </c>
      <c r="C440" t="s">
        <v>189</v>
      </c>
      <c r="D440">
        <v>2</v>
      </c>
      <c r="E440" s="7" t="s">
        <v>21</v>
      </c>
      <c r="F440">
        <v>2</v>
      </c>
      <c r="G440" t="s">
        <v>25</v>
      </c>
      <c r="H440" s="13"/>
      <c r="I440" s="13"/>
      <c r="J440">
        <v>0.25</v>
      </c>
      <c r="K440">
        <v>0.04</v>
      </c>
      <c r="L440">
        <v>1.84</v>
      </c>
      <c r="M440">
        <v>1.28</v>
      </c>
      <c r="N440">
        <v>1.72</v>
      </c>
      <c r="O440">
        <v>1.52</v>
      </c>
      <c r="P440">
        <f t="shared" si="6"/>
        <v>1.5899999999999999</v>
      </c>
      <c r="Q440">
        <v>5.269324308459708E-2</v>
      </c>
      <c r="R440">
        <v>8.776652456851812E-2</v>
      </c>
      <c r="S440">
        <v>0.93208831996001973</v>
      </c>
      <c r="T440">
        <v>0.77986117791550091</v>
      </c>
      <c r="U440">
        <v>1.0566710987563033</v>
      </c>
      <c r="V440">
        <v>0.10798269863130006</v>
      </c>
      <c r="W440">
        <v>457</v>
      </c>
      <c r="X440">
        <v>565</v>
      </c>
      <c r="Y440">
        <v>0.87980806791843535</v>
      </c>
      <c r="Z440">
        <v>5.5612059821770594E-2</v>
      </c>
      <c r="AB440">
        <v>13.392216874506287</v>
      </c>
      <c r="AC440">
        <v>11.986723677303237</v>
      </c>
      <c r="AD440">
        <v>11.343854952985421</v>
      </c>
      <c r="AE440" t="s">
        <v>226</v>
      </c>
    </row>
    <row r="441" spans="1:31" x14ac:dyDescent="0.3">
      <c r="A441">
        <v>439</v>
      </c>
      <c r="B441" t="s">
        <v>222</v>
      </c>
      <c r="C441" t="s">
        <v>189</v>
      </c>
      <c r="D441">
        <v>2</v>
      </c>
      <c r="E441" s="7" t="s">
        <v>21</v>
      </c>
      <c r="F441">
        <v>3</v>
      </c>
      <c r="G441" t="s">
        <v>22</v>
      </c>
      <c r="H441" s="13"/>
      <c r="I441" s="13"/>
      <c r="J441">
        <v>1.1200000000000001</v>
      </c>
      <c r="K441">
        <v>0.45600000000000002</v>
      </c>
      <c r="L441">
        <v>4.28</v>
      </c>
      <c r="M441">
        <v>3.06</v>
      </c>
      <c r="N441">
        <v>3.69</v>
      </c>
      <c r="O441">
        <v>3.42</v>
      </c>
      <c r="P441">
        <f t="shared" si="6"/>
        <v>3.6124999999999998</v>
      </c>
      <c r="Q441">
        <v>5.2114720007589758E-2</v>
      </c>
      <c r="R441">
        <v>0.10268815875366626</v>
      </c>
      <c r="S441">
        <v>0.8981053894809129</v>
      </c>
      <c r="T441">
        <v>0.75429748684095543</v>
      </c>
      <c r="U441">
        <v>0.98847963317422127</v>
      </c>
      <c r="V441">
        <v>0.12245733925863296</v>
      </c>
      <c r="W441">
        <v>499</v>
      </c>
      <c r="X441">
        <v>625</v>
      </c>
      <c r="Y441">
        <v>0.86861524338574525</v>
      </c>
      <c r="Z441">
        <v>6.1172553444632558E-2</v>
      </c>
      <c r="AB441">
        <v>14.395613891670777</v>
      </c>
      <c r="AC441">
        <v>12.884834834662206</v>
      </c>
      <c r="AD441">
        <v>13.035002849058429</v>
      </c>
      <c r="AE441" t="s">
        <v>226</v>
      </c>
    </row>
    <row r="442" spans="1:31" x14ac:dyDescent="0.3">
      <c r="A442">
        <v>440</v>
      </c>
      <c r="B442" t="s">
        <v>222</v>
      </c>
      <c r="C442" t="s">
        <v>189</v>
      </c>
      <c r="D442">
        <v>2</v>
      </c>
      <c r="E442" s="7" t="s">
        <v>21</v>
      </c>
      <c r="F442">
        <v>8</v>
      </c>
      <c r="G442" t="s">
        <v>26</v>
      </c>
      <c r="H442" s="13"/>
      <c r="I442" s="13"/>
      <c r="J442">
        <v>2.8380000000000001</v>
      </c>
      <c r="K442">
        <v>0.76900000000000002</v>
      </c>
      <c r="L442">
        <v>1.39</v>
      </c>
      <c r="M442">
        <v>1.8</v>
      </c>
      <c r="N442">
        <v>1.37</v>
      </c>
      <c r="O442">
        <v>1.45</v>
      </c>
      <c r="P442">
        <f t="shared" si="6"/>
        <v>1.5025000000000002</v>
      </c>
      <c r="Q442">
        <v>5.182362213011836E-2</v>
      </c>
      <c r="R442">
        <v>9.8949020416985667E-2</v>
      </c>
      <c r="S442">
        <v>0.73290818364780985</v>
      </c>
      <c r="T442">
        <v>0.93398212469844666</v>
      </c>
      <c r="U442">
        <v>1.0045885008977418</v>
      </c>
      <c r="V442">
        <v>2.9661435567674432E-2</v>
      </c>
      <c r="W442">
        <v>382</v>
      </c>
      <c r="X442">
        <v>616</v>
      </c>
      <c r="Y442">
        <v>0.67385138967668756</v>
      </c>
      <c r="Z442">
        <v>0.17143587165414723</v>
      </c>
      <c r="AB442">
        <v>41.504852790637642</v>
      </c>
      <c r="AC442">
        <v>37.149079891991249</v>
      </c>
      <c r="AD442">
        <v>36.979399882432752</v>
      </c>
      <c r="AE442" t="s">
        <v>226</v>
      </c>
    </row>
    <row r="443" spans="1:31" x14ac:dyDescent="0.3">
      <c r="A443">
        <v>441</v>
      </c>
      <c r="B443" t="s">
        <v>222</v>
      </c>
      <c r="C443" t="s">
        <v>189</v>
      </c>
      <c r="D443">
        <v>3</v>
      </c>
      <c r="E443" s="7" t="s">
        <v>21</v>
      </c>
      <c r="F443">
        <v>3</v>
      </c>
      <c r="G443" t="s">
        <v>24</v>
      </c>
      <c r="H443" s="13"/>
      <c r="I443" s="13"/>
      <c r="J443">
        <v>1.653</v>
      </c>
      <c r="K443">
        <v>0.70299999999999996</v>
      </c>
      <c r="L443">
        <v>5.4</v>
      </c>
      <c r="M443">
        <v>5.31</v>
      </c>
      <c r="N443">
        <v>5.09</v>
      </c>
      <c r="O443">
        <v>7.39</v>
      </c>
      <c r="P443">
        <f t="shared" si="6"/>
        <v>5.7975000000000003</v>
      </c>
      <c r="Q443">
        <v>3.0735818444192542E-2</v>
      </c>
      <c r="R443">
        <v>8.0548300412450258E-2</v>
      </c>
      <c r="S443">
        <v>0.80353836646190391</v>
      </c>
      <c r="T443">
        <v>0.87981585895451275</v>
      </c>
      <c r="U443">
        <v>1.0939436188609217</v>
      </c>
      <c r="V443">
        <v>5.5608213995483442E-2</v>
      </c>
      <c r="W443">
        <v>478</v>
      </c>
      <c r="X443">
        <v>672</v>
      </c>
      <c r="Y443">
        <v>0.77364207315849676</v>
      </c>
      <c r="Z443">
        <v>0.11145991994403959</v>
      </c>
      <c r="AB443">
        <v>25.056006099155415</v>
      </c>
      <c r="AC443">
        <v>22.426542177927768</v>
      </c>
      <c r="AD443">
        <v>20.50063805050538</v>
      </c>
      <c r="AE443" t="s">
        <v>226</v>
      </c>
    </row>
    <row r="444" spans="1:31" x14ac:dyDescent="0.3">
      <c r="A444">
        <v>442</v>
      </c>
      <c r="B444" t="s">
        <v>222</v>
      </c>
      <c r="C444" t="s">
        <v>189</v>
      </c>
      <c r="D444">
        <v>3</v>
      </c>
      <c r="E444" s="7" t="s">
        <v>21</v>
      </c>
      <c r="F444">
        <v>6</v>
      </c>
      <c r="G444" t="s">
        <v>25</v>
      </c>
      <c r="H444" s="13"/>
      <c r="I444" s="13"/>
      <c r="J444">
        <v>1.7949999999999999</v>
      </c>
      <c r="K444">
        <v>0.41899999999999998</v>
      </c>
      <c r="L444">
        <v>1.25</v>
      </c>
      <c r="M444">
        <v>1.32</v>
      </c>
      <c r="N444">
        <v>1.5</v>
      </c>
      <c r="O444">
        <v>1.79</v>
      </c>
      <c r="P444">
        <f t="shared" si="6"/>
        <v>1.4650000000000001</v>
      </c>
      <c r="Q444">
        <v>4.3147148937469702E-2</v>
      </c>
      <c r="R444">
        <v>9.6920782809609682E-2</v>
      </c>
      <c r="S444">
        <v>0.7969742202485347</v>
      </c>
      <c r="T444">
        <v>0.92759424114505307</v>
      </c>
      <c r="U444">
        <v>1.0135830868114513</v>
      </c>
      <c r="V444">
        <v>3.2641956289644544E-2</v>
      </c>
      <c r="W444">
        <v>467</v>
      </c>
      <c r="X444">
        <v>668</v>
      </c>
      <c r="Y444">
        <v>0.76029610653669488</v>
      </c>
      <c r="Z444">
        <v>0.11901723352213577</v>
      </c>
      <c r="AB444">
        <v>26.904944557817792</v>
      </c>
      <c r="AC444">
        <v>24.081443187809711</v>
      </c>
      <c r="AD444">
        <v>23.75872634533156</v>
      </c>
      <c r="AE444" t="s">
        <v>226</v>
      </c>
    </row>
    <row r="445" spans="1:31" x14ac:dyDescent="0.3">
      <c r="A445">
        <v>443</v>
      </c>
      <c r="B445" t="s">
        <v>222</v>
      </c>
      <c r="C445" t="s">
        <v>189</v>
      </c>
      <c r="D445">
        <v>3</v>
      </c>
      <c r="E445" s="7" t="s">
        <v>21</v>
      </c>
      <c r="F445">
        <v>7</v>
      </c>
      <c r="G445" t="s">
        <v>28</v>
      </c>
      <c r="H445" s="13"/>
      <c r="I445" s="13"/>
      <c r="J445">
        <v>2.3109999999999999</v>
      </c>
      <c r="K445">
        <v>0.8</v>
      </c>
      <c r="L445">
        <v>4.6500000000000004</v>
      </c>
      <c r="M445">
        <v>5.45</v>
      </c>
      <c r="N445">
        <v>4.05</v>
      </c>
      <c r="O445">
        <v>3.9</v>
      </c>
      <c r="P445">
        <f t="shared" si="6"/>
        <v>4.5125000000000002</v>
      </c>
      <c r="Q445">
        <v>2.6975983549260188E-2</v>
      </c>
      <c r="R445">
        <v>0.11943508283078648</v>
      </c>
      <c r="S445">
        <v>0.82092238629407788</v>
      </c>
      <c r="T445">
        <v>0.88256726195566493</v>
      </c>
      <c r="U445">
        <v>0.92286808491644456</v>
      </c>
      <c r="V445">
        <v>5.4252186355969817E-2</v>
      </c>
      <c r="W445">
        <v>494</v>
      </c>
      <c r="X445">
        <v>660</v>
      </c>
      <c r="Y445">
        <v>0.81420794460654933</v>
      </c>
      <c r="Z445">
        <v>8.9264664322190254E-2</v>
      </c>
      <c r="AB445">
        <v>19.998736165406346</v>
      </c>
      <c r="AC445">
        <v>17.899992405926216</v>
      </c>
      <c r="AD445">
        <v>19.396046627343129</v>
      </c>
      <c r="AE445" t="s">
        <v>226</v>
      </c>
    </row>
    <row r="446" spans="1:31" x14ac:dyDescent="0.3">
      <c r="A446">
        <v>444</v>
      </c>
      <c r="B446" t="s">
        <v>222</v>
      </c>
      <c r="C446" t="s">
        <v>189</v>
      </c>
      <c r="D446">
        <v>3</v>
      </c>
      <c r="E446" s="7" t="s">
        <v>21</v>
      </c>
      <c r="F446">
        <v>10</v>
      </c>
      <c r="G446" t="s">
        <v>192</v>
      </c>
      <c r="H446" s="13"/>
      <c r="I446" s="13"/>
      <c r="J446">
        <v>5.23</v>
      </c>
      <c r="K446">
        <v>1.573</v>
      </c>
      <c r="L446">
        <v>2.06</v>
      </c>
      <c r="M446">
        <v>2.4</v>
      </c>
      <c r="N446">
        <v>2.27</v>
      </c>
      <c r="O446">
        <v>2.64</v>
      </c>
      <c r="P446">
        <f t="shared" si="6"/>
        <v>2.3425000000000002</v>
      </c>
      <c r="Q446">
        <v>2.6687084127045891E-2</v>
      </c>
      <c r="R446">
        <v>0.11728719819093446</v>
      </c>
      <c r="S446">
        <v>0.76429287756468667</v>
      </c>
      <c r="T446">
        <v>0.92143667607231905</v>
      </c>
      <c r="U446">
        <v>0.93074938821222886</v>
      </c>
      <c r="V446">
        <v>3.5534505455571234E-2</v>
      </c>
      <c r="W446">
        <v>376</v>
      </c>
      <c r="X446">
        <v>556</v>
      </c>
      <c r="Y446">
        <v>0.73491018558338028</v>
      </c>
      <c r="Z446">
        <v>0.13376573341773673</v>
      </c>
      <c r="AB446">
        <v>30.699026465272915</v>
      </c>
      <c r="AC446">
        <v>27.477345624778003</v>
      </c>
      <c r="AD446">
        <v>29.521744491883176</v>
      </c>
      <c r="AE446" t="s">
        <v>226</v>
      </c>
    </row>
    <row r="447" spans="1:31" x14ac:dyDescent="0.3">
      <c r="A447">
        <v>445</v>
      </c>
      <c r="B447" t="s">
        <v>222</v>
      </c>
      <c r="C447" t="s">
        <v>189</v>
      </c>
      <c r="D447">
        <v>3</v>
      </c>
      <c r="E447" s="7" t="s">
        <v>21</v>
      </c>
      <c r="F447">
        <v>11</v>
      </c>
      <c r="G447" t="s">
        <v>23</v>
      </c>
      <c r="H447" s="13"/>
      <c r="I447" s="13"/>
      <c r="J447">
        <v>0.86599999999999999</v>
      </c>
      <c r="K447">
        <v>0.26900000000000002</v>
      </c>
      <c r="L447">
        <v>3.15</v>
      </c>
      <c r="M447">
        <v>2.0499999999999998</v>
      </c>
      <c r="N447">
        <v>2.1</v>
      </c>
      <c r="O447">
        <v>2.15</v>
      </c>
      <c r="P447">
        <f t="shared" si="6"/>
        <v>2.3624999999999998</v>
      </c>
      <c r="Q447">
        <v>3.7389219142700103E-2</v>
      </c>
      <c r="R447">
        <v>9.247035137545831E-2</v>
      </c>
      <c r="S447">
        <v>0.7636908145050415</v>
      </c>
      <c r="T447">
        <v>0.93880488998573408</v>
      </c>
      <c r="U447">
        <v>1.0339974921048303</v>
      </c>
      <c r="V447">
        <v>2.7424656942756958E-2</v>
      </c>
      <c r="W447">
        <v>429</v>
      </c>
      <c r="X447">
        <v>681</v>
      </c>
      <c r="Y447">
        <v>0.68481712146302831</v>
      </c>
      <c r="Z447">
        <v>0.16442539017675314</v>
      </c>
      <c r="AB447">
        <v>39.372488468993446</v>
      </c>
      <c r="AC447">
        <v>35.240515898162641</v>
      </c>
      <c r="AD447">
        <v>34.081819508504026</v>
      </c>
      <c r="AE447" t="s">
        <v>226</v>
      </c>
    </row>
    <row r="448" spans="1:31" x14ac:dyDescent="0.3">
      <c r="A448">
        <v>446</v>
      </c>
      <c r="B448" t="s">
        <v>222</v>
      </c>
      <c r="C448" t="s">
        <v>189</v>
      </c>
      <c r="D448">
        <v>3</v>
      </c>
      <c r="E448" s="7" t="s">
        <v>21</v>
      </c>
      <c r="F448">
        <v>16</v>
      </c>
      <c r="G448" t="s">
        <v>29</v>
      </c>
      <c r="H448" s="13"/>
      <c r="I448" s="13"/>
      <c r="J448">
        <v>0.75600000000000001</v>
      </c>
      <c r="K448">
        <v>0.28100000000000003</v>
      </c>
      <c r="L448">
        <v>4.01</v>
      </c>
      <c r="M448">
        <v>4.05</v>
      </c>
      <c r="N448">
        <v>4.26</v>
      </c>
      <c r="O448">
        <v>4.66</v>
      </c>
      <c r="P448">
        <f t="shared" si="6"/>
        <v>4.2449999999999992</v>
      </c>
      <c r="Q448">
        <v>2.7787302198868026E-2</v>
      </c>
      <c r="R448">
        <v>6.8019825995646738E-2</v>
      </c>
      <c r="S448">
        <v>0.71320119564218232</v>
      </c>
      <c r="T448">
        <v>0.89322957764094746</v>
      </c>
      <c r="U448">
        <v>1.1673644833886996</v>
      </c>
      <c r="V448">
        <v>4.9036904506138242E-2</v>
      </c>
      <c r="W448">
        <v>463</v>
      </c>
      <c r="X448">
        <v>682</v>
      </c>
      <c r="Y448">
        <v>0.73826020845577733</v>
      </c>
      <c r="Z448">
        <v>0.13179053901867768</v>
      </c>
      <c r="AB448">
        <v>30.17665589677663</v>
      </c>
      <c r="AC448">
        <v>27.009797155731551</v>
      </c>
      <c r="AD448">
        <v>23.137415554502567</v>
      </c>
      <c r="AE448" t="s">
        <v>226</v>
      </c>
    </row>
    <row r="449" spans="1:31" x14ac:dyDescent="0.3">
      <c r="A449">
        <v>447</v>
      </c>
      <c r="B449" t="s">
        <v>222</v>
      </c>
      <c r="C449" t="s">
        <v>189</v>
      </c>
      <c r="D449">
        <v>4</v>
      </c>
      <c r="E449" s="7" t="s">
        <v>21</v>
      </c>
      <c r="F449">
        <v>1</v>
      </c>
      <c r="G449" t="s">
        <v>28</v>
      </c>
      <c r="H449" s="13"/>
      <c r="I449" s="13"/>
      <c r="J449">
        <v>1.284</v>
      </c>
      <c r="K449">
        <v>0.49</v>
      </c>
      <c r="L449">
        <v>4.26</v>
      </c>
      <c r="M449">
        <v>2.92</v>
      </c>
      <c r="N449">
        <v>3.66</v>
      </c>
      <c r="O449">
        <v>3.35</v>
      </c>
      <c r="P449">
        <f t="shared" si="6"/>
        <v>3.5474999999999999</v>
      </c>
      <c r="Q449">
        <v>3.098610018326144E-2</v>
      </c>
      <c r="R449">
        <v>8.0559727324127445E-2</v>
      </c>
      <c r="S449">
        <v>0.73283663588107262</v>
      </c>
      <c r="T449">
        <v>0.84297727906776843</v>
      </c>
      <c r="U449">
        <v>1.0938820124373978</v>
      </c>
      <c r="V449">
        <v>7.4184130842009796E-2</v>
      </c>
      <c r="W449">
        <v>345</v>
      </c>
      <c r="X449">
        <v>509</v>
      </c>
      <c r="Y449">
        <v>0.73635299106583529</v>
      </c>
      <c r="Z449">
        <v>0.13291394473668944</v>
      </c>
      <c r="AB449">
        <v>30.473217451661888</v>
      </c>
      <c r="AC449">
        <v>27.275234990491125</v>
      </c>
      <c r="AD449">
        <v>24.934348202431998</v>
      </c>
      <c r="AE449" t="s">
        <v>226</v>
      </c>
    </row>
    <row r="450" spans="1:31" x14ac:dyDescent="0.3">
      <c r="A450">
        <v>448</v>
      </c>
      <c r="B450" t="s">
        <v>222</v>
      </c>
      <c r="C450" t="s">
        <v>189</v>
      </c>
      <c r="D450">
        <v>4</v>
      </c>
      <c r="E450" s="7" t="s">
        <v>21</v>
      </c>
      <c r="F450">
        <v>4</v>
      </c>
      <c r="G450" t="s">
        <v>29</v>
      </c>
      <c r="H450" s="13"/>
      <c r="I450" s="13"/>
      <c r="J450">
        <v>0.81699999999999995</v>
      </c>
      <c r="K450">
        <v>0.248</v>
      </c>
      <c r="L450">
        <v>2.9</v>
      </c>
      <c r="M450">
        <v>2.0099999999999998</v>
      </c>
      <c r="N450">
        <v>3.03</v>
      </c>
      <c r="O450">
        <v>3.79</v>
      </c>
      <c r="P450">
        <f t="shared" si="6"/>
        <v>2.9325000000000001</v>
      </c>
      <c r="Q450">
        <v>3.0483590156842776E-2</v>
      </c>
      <c r="R450">
        <v>7.2278980674913493E-2</v>
      </c>
      <c r="S450">
        <v>0.77843333461848996</v>
      </c>
      <c r="T450">
        <v>0.91345312753899122</v>
      </c>
      <c r="U450">
        <v>1.1409879807705117</v>
      </c>
      <c r="V450">
        <v>3.9313732901964042E-2</v>
      </c>
      <c r="W450">
        <v>470</v>
      </c>
      <c r="X450">
        <v>657</v>
      </c>
      <c r="Y450">
        <v>0.77803236110696483</v>
      </c>
      <c r="Z450">
        <v>0.10900233879707692</v>
      </c>
      <c r="AB450">
        <v>24.468644436804603</v>
      </c>
      <c r="AC450">
        <v>21.900820754917831</v>
      </c>
      <c r="AD450">
        <v>19.194611270250331</v>
      </c>
      <c r="AE450" t="s">
        <v>226</v>
      </c>
    </row>
    <row r="451" spans="1:31" x14ac:dyDescent="0.3">
      <c r="A451">
        <v>449</v>
      </c>
      <c r="B451" t="s">
        <v>222</v>
      </c>
      <c r="C451" t="s">
        <v>189</v>
      </c>
      <c r="D451">
        <v>4</v>
      </c>
      <c r="E451" s="7" t="s">
        <v>21</v>
      </c>
      <c r="F451">
        <v>8</v>
      </c>
      <c r="G451" t="s">
        <v>27</v>
      </c>
      <c r="H451" s="13"/>
      <c r="I451" s="13"/>
      <c r="J451">
        <v>1.0329999999999999</v>
      </c>
      <c r="K451">
        <v>0.23200000000000001</v>
      </c>
      <c r="L451">
        <v>1.65</v>
      </c>
      <c r="M451">
        <v>1.65</v>
      </c>
      <c r="N451">
        <v>1.81</v>
      </c>
      <c r="O451">
        <v>1.81</v>
      </c>
      <c r="P451">
        <f t="shared" si="6"/>
        <v>1.73</v>
      </c>
      <c r="Q451">
        <v>4.3401329490856858E-2</v>
      </c>
      <c r="R451">
        <v>0.1768232624665487</v>
      </c>
      <c r="S451">
        <v>0.81880412266692648</v>
      </c>
      <c r="T451">
        <v>0.94222432007333268</v>
      </c>
      <c r="U451">
        <v>0.75246060076932419</v>
      </c>
      <c r="V451">
        <v>2.5845690230096668E-2</v>
      </c>
      <c r="W451">
        <v>450</v>
      </c>
      <c r="X451">
        <v>676</v>
      </c>
      <c r="Y451">
        <v>0.72381884944920438</v>
      </c>
      <c r="Z451">
        <v>0.14037011132842164</v>
      </c>
      <c r="AB451">
        <v>32.477654462981398</v>
      </c>
      <c r="AC451">
        <v>29.069307645435785</v>
      </c>
      <c r="AD451">
        <v>38.632331866565501</v>
      </c>
      <c r="AE451" t="s">
        <v>226</v>
      </c>
    </row>
    <row r="452" spans="1:31" x14ac:dyDescent="0.3">
      <c r="A452">
        <v>450</v>
      </c>
      <c r="B452" t="s">
        <v>222</v>
      </c>
      <c r="C452" t="s">
        <v>189</v>
      </c>
      <c r="D452">
        <v>4</v>
      </c>
      <c r="E452" s="7" t="s">
        <v>21</v>
      </c>
      <c r="F452">
        <v>7</v>
      </c>
      <c r="G452" t="s">
        <v>26</v>
      </c>
      <c r="H452" s="13"/>
      <c r="I452" s="13"/>
      <c r="J452">
        <v>1.28</v>
      </c>
      <c r="K452">
        <v>0.32300000000000001</v>
      </c>
      <c r="L452">
        <v>1.05</v>
      </c>
      <c r="M452">
        <v>1.35</v>
      </c>
      <c r="N452">
        <v>1.53</v>
      </c>
      <c r="O452">
        <v>1.1000000000000001</v>
      </c>
      <c r="P452">
        <f t="shared" ref="P452:P515" si="7">AVERAGE(L452:O452)</f>
        <v>1.2575000000000003</v>
      </c>
      <c r="Q452">
        <v>3.600742172631221E-2</v>
      </c>
      <c r="R452">
        <v>0.10976968044338496</v>
      </c>
      <c r="S452">
        <v>0.7422672033042087</v>
      </c>
      <c r="T452">
        <v>1.0397033980437178</v>
      </c>
      <c r="U452">
        <v>0.95951760009068354</v>
      </c>
      <c r="V452">
        <v>-1.690946337115571E-2</v>
      </c>
      <c r="W452">
        <v>421</v>
      </c>
      <c r="X452">
        <v>720</v>
      </c>
      <c r="Y452">
        <v>0.63553691292305547</v>
      </c>
      <c r="Z452">
        <v>0.19685921991212799</v>
      </c>
      <c r="AB452">
        <v>49.703477322932088</v>
      </c>
      <c r="AC452">
        <v>44.487208607813962</v>
      </c>
      <c r="AD452">
        <v>46.364140275915204</v>
      </c>
      <c r="AE452" t="s">
        <v>226</v>
      </c>
    </row>
    <row r="453" spans="1:31" x14ac:dyDescent="0.3">
      <c r="A453">
        <v>451</v>
      </c>
      <c r="B453" t="s">
        <v>222</v>
      </c>
      <c r="C453" t="s">
        <v>189</v>
      </c>
      <c r="D453">
        <v>4</v>
      </c>
      <c r="E453" s="7" t="s">
        <v>21</v>
      </c>
      <c r="F453">
        <v>5</v>
      </c>
      <c r="G453" t="s">
        <v>22</v>
      </c>
      <c r="H453" s="13"/>
      <c r="I453" s="13"/>
      <c r="J453">
        <v>0.30199999999999999</v>
      </c>
      <c r="K453">
        <v>0.11799999999999999</v>
      </c>
      <c r="L453">
        <v>3.12</v>
      </c>
      <c r="M453">
        <v>3.93</v>
      </c>
      <c r="N453">
        <v>3.51</v>
      </c>
      <c r="O453">
        <v>3.75</v>
      </c>
      <c r="P453">
        <f t="shared" si="7"/>
        <v>3.5775000000000001</v>
      </c>
      <c r="Q453">
        <v>3.407036478483607E-2</v>
      </c>
      <c r="R453">
        <v>7.1429624894059671E-2</v>
      </c>
      <c r="S453">
        <v>0.79445653319239407</v>
      </c>
      <c r="T453">
        <v>0.8767622922073367</v>
      </c>
      <c r="U453">
        <v>1.1461216305259934</v>
      </c>
      <c r="V453">
        <v>5.7118136595140617E-2</v>
      </c>
      <c r="W453">
        <v>521</v>
      </c>
      <c r="X453">
        <v>717</v>
      </c>
      <c r="Y453">
        <v>0.79051475968080531</v>
      </c>
      <c r="Z453">
        <v>0.10209001695493837</v>
      </c>
      <c r="AB453">
        <v>22.853175830129832</v>
      </c>
      <c r="AC453">
        <v>20.454884643107391</v>
      </c>
      <c r="AD453">
        <v>17.847045285865484</v>
      </c>
      <c r="AE453" t="s">
        <v>226</v>
      </c>
    </row>
    <row r="454" spans="1:31" x14ac:dyDescent="0.3">
      <c r="A454">
        <v>452</v>
      </c>
      <c r="B454" t="s">
        <v>223</v>
      </c>
      <c r="C454" t="s">
        <v>198</v>
      </c>
      <c r="D454">
        <v>1</v>
      </c>
      <c r="E454" s="7" t="s">
        <v>21</v>
      </c>
      <c r="F454">
        <v>11</v>
      </c>
      <c r="G454" t="s">
        <v>29</v>
      </c>
      <c r="H454" s="13"/>
      <c r="I454" s="13"/>
      <c r="J454">
        <v>1.4</v>
      </c>
      <c r="K454">
        <v>0.29299999999999998</v>
      </c>
      <c r="L454">
        <v>2.94</v>
      </c>
      <c r="M454">
        <v>2.67</v>
      </c>
      <c r="N454">
        <v>3.3</v>
      </c>
      <c r="O454">
        <v>3.62</v>
      </c>
      <c r="P454">
        <f t="shared" si="7"/>
        <v>3.1325000000000003</v>
      </c>
      <c r="Q454">
        <v>0.11838829264404498</v>
      </c>
      <c r="R454">
        <v>0.57942755017125114</v>
      </c>
      <c r="S454">
        <v>0.82123274027322002</v>
      </c>
      <c r="T454">
        <v>1.0189032902383841</v>
      </c>
      <c r="U454">
        <v>0.23700085914451663</v>
      </c>
      <c r="V454">
        <v>-8.1329646649113685E-3</v>
      </c>
      <c r="W454">
        <v>432</v>
      </c>
      <c r="X454">
        <v>677</v>
      </c>
      <c r="Y454">
        <v>0.70767566095128553</v>
      </c>
      <c r="Z454">
        <v>0.15016574080327891</v>
      </c>
      <c r="AB454">
        <v>35.206441217960261</v>
      </c>
      <c r="AC454">
        <v>31.511706126718202</v>
      </c>
      <c r="AD454">
        <v>132.96030335275378</v>
      </c>
      <c r="AE454" t="s">
        <v>227</v>
      </c>
    </row>
    <row r="455" spans="1:31" x14ac:dyDescent="0.3">
      <c r="A455">
        <v>453</v>
      </c>
      <c r="B455" t="s">
        <v>223</v>
      </c>
      <c r="C455" t="s">
        <v>198</v>
      </c>
      <c r="D455">
        <v>1</v>
      </c>
      <c r="E455" s="7" t="s">
        <v>21</v>
      </c>
      <c r="F455">
        <v>10</v>
      </c>
      <c r="G455" t="s">
        <v>24</v>
      </c>
      <c r="H455" s="13"/>
      <c r="I455" s="13"/>
      <c r="J455">
        <v>0.89</v>
      </c>
      <c r="K455">
        <v>0.186</v>
      </c>
      <c r="L455">
        <v>2</v>
      </c>
      <c r="M455">
        <v>1.58</v>
      </c>
      <c r="N455">
        <v>1.47</v>
      </c>
      <c r="O455">
        <v>2</v>
      </c>
      <c r="P455">
        <f t="shared" si="7"/>
        <v>1.7625</v>
      </c>
      <c r="Q455">
        <v>8.0753911079837981E-2</v>
      </c>
      <c r="R455">
        <v>0.51323520399109135</v>
      </c>
      <c r="S455">
        <v>0.82496166397986859</v>
      </c>
      <c r="T455">
        <v>0.95949005241677232</v>
      </c>
      <c r="U455">
        <v>0.28968356201123724</v>
      </c>
      <c r="V455">
        <v>1.7959523484944128E-2</v>
      </c>
      <c r="W455">
        <v>479</v>
      </c>
      <c r="X455">
        <v>719</v>
      </c>
      <c r="Y455">
        <v>0.73910550050224755</v>
      </c>
      <c r="Z455">
        <v>0.13129356564341596</v>
      </c>
      <c r="AB455">
        <v>30.045917452232906</v>
      </c>
      <c r="AC455">
        <v>26.892779509115012</v>
      </c>
      <c r="AD455">
        <v>92.835020815132765</v>
      </c>
      <c r="AE455" t="s">
        <v>227</v>
      </c>
    </row>
    <row r="456" spans="1:31" x14ac:dyDescent="0.3">
      <c r="A456">
        <v>454</v>
      </c>
      <c r="B456" t="s">
        <v>223</v>
      </c>
      <c r="C456" t="s">
        <v>198</v>
      </c>
      <c r="D456">
        <v>1</v>
      </c>
      <c r="E456" s="7" t="s">
        <v>21</v>
      </c>
      <c r="F456">
        <v>9</v>
      </c>
      <c r="G456" t="s">
        <v>22</v>
      </c>
      <c r="H456" s="13"/>
      <c r="I456" s="13"/>
      <c r="J456">
        <v>1.92</v>
      </c>
      <c r="K456">
        <v>0.51300000000000001</v>
      </c>
      <c r="L456">
        <v>3.94</v>
      </c>
      <c r="M456">
        <v>4.62</v>
      </c>
      <c r="N456">
        <v>3.59</v>
      </c>
      <c r="O456">
        <v>3.37</v>
      </c>
      <c r="P456">
        <f t="shared" si="7"/>
        <v>3.88</v>
      </c>
      <c r="Q456">
        <v>7.2135792652073802E-2</v>
      </c>
      <c r="R456">
        <v>0.27320510795874825</v>
      </c>
      <c r="S456">
        <v>0.86242162580638082</v>
      </c>
      <c r="T456">
        <v>0.99955338951693806</v>
      </c>
      <c r="U456">
        <v>0.56351118516048915</v>
      </c>
      <c r="V456">
        <v>1.9400379364338725E-4</v>
      </c>
      <c r="W456">
        <v>426</v>
      </c>
      <c r="X456">
        <v>703</v>
      </c>
      <c r="Y456">
        <v>0.67195663103591485</v>
      </c>
      <c r="Z456">
        <v>0.17265875597830216</v>
      </c>
      <c r="AB456">
        <v>41.882500960207253</v>
      </c>
      <c r="AC456">
        <v>37.487092142197447</v>
      </c>
      <c r="AD456">
        <v>66.524131426993847</v>
      </c>
      <c r="AE456" t="s">
        <v>227</v>
      </c>
    </row>
    <row r="457" spans="1:31" x14ac:dyDescent="0.3">
      <c r="A457">
        <v>455</v>
      </c>
      <c r="B457" t="s">
        <v>223</v>
      </c>
      <c r="C457" t="s">
        <v>198</v>
      </c>
      <c r="D457">
        <v>1</v>
      </c>
      <c r="E457" s="7" t="s">
        <v>21</v>
      </c>
      <c r="F457">
        <v>8</v>
      </c>
      <c r="G457" t="s">
        <v>192</v>
      </c>
      <c r="H457" s="13"/>
      <c r="I457" s="13"/>
      <c r="J457">
        <v>0.92</v>
      </c>
      <c r="K457">
        <v>0.106</v>
      </c>
      <c r="L457">
        <v>0.6</v>
      </c>
      <c r="M457">
        <v>0.72</v>
      </c>
      <c r="N457">
        <v>0.73</v>
      </c>
      <c r="O457">
        <v>0.81</v>
      </c>
      <c r="P457">
        <f t="shared" si="7"/>
        <v>0.71499999999999997</v>
      </c>
      <c r="Q457">
        <v>0.2610927642615819</v>
      </c>
      <c r="R457">
        <v>0.91986281758396771</v>
      </c>
      <c r="S457">
        <v>0.90595704178558067</v>
      </c>
      <c r="T457">
        <v>0.93143681669405165</v>
      </c>
      <c r="U457">
        <v>3.6276935707252767E-2</v>
      </c>
      <c r="V457">
        <v>3.0846599803478727E-2</v>
      </c>
      <c r="W457">
        <v>544</v>
      </c>
      <c r="X457">
        <v>733</v>
      </c>
      <c r="Y457">
        <v>0.82376001006247113</v>
      </c>
      <c r="Z457">
        <v>8.4199294961234447E-2</v>
      </c>
      <c r="AB457">
        <v>18.922552717567818</v>
      </c>
      <c r="AC457">
        <v>16.936742086582477</v>
      </c>
      <c r="AD457">
        <v>466.8735590916063</v>
      </c>
      <c r="AE457" t="s">
        <v>227</v>
      </c>
    </row>
    <row r="458" spans="1:31" x14ac:dyDescent="0.3">
      <c r="A458">
        <v>456</v>
      </c>
      <c r="B458" t="s">
        <v>223</v>
      </c>
      <c r="C458" t="s">
        <v>198</v>
      </c>
      <c r="D458">
        <v>1</v>
      </c>
      <c r="E458" s="7" t="s">
        <v>21</v>
      </c>
      <c r="F458">
        <v>5</v>
      </c>
      <c r="G458" t="s">
        <v>23</v>
      </c>
      <c r="H458" s="13"/>
      <c r="I458" s="13"/>
      <c r="J458">
        <v>0.38</v>
      </c>
      <c r="K458">
        <v>0.05</v>
      </c>
      <c r="L458">
        <v>1.76</v>
      </c>
      <c r="M458">
        <v>1.51</v>
      </c>
      <c r="N458">
        <v>1.62</v>
      </c>
      <c r="O458">
        <v>1.64</v>
      </c>
      <c r="P458">
        <f t="shared" si="7"/>
        <v>1.6325000000000001</v>
      </c>
      <c r="Q458">
        <v>0.12662790807640495</v>
      </c>
      <c r="R458">
        <v>0.57578409093082339</v>
      </c>
      <c r="S458">
        <v>0.93860227168788413</v>
      </c>
      <c r="T458">
        <v>0.94335319660874439</v>
      </c>
      <c r="U458">
        <v>0.23974033896541605</v>
      </c>
      <c r="V458">
        <v>2.5325674580443394E-2</v>
      </c>
      <c r="W458">
        <v>399</v>
      </c>
      <c r="X458">
        <v>581</v>
      </c>
      <c r="Y458">
        <v>0.76150895140664954</v>
      </c>
      <c r="Z458">
        <v>0.11832498724105174</v>
      </c>
      <c r="AB458">
        <v>26.732898957713854</v>
      </c>
      <c r="AC458">
        <v>23.92745308927551</v>
      </c>
      <c r="AD458">
        <v>99.805703089154235</v>
      </c>
      <c r="AE458" t="s">
        <v>227</v>
      </c>
    </row>
    <row r="459" spans="1:31" x14ac:dyDescent="0.3">
      <c r="A459">
        <v>457</v>
      </c>
      <c r="B459" t="s">
        <v>223</v>
      </c>
      <c r="C459" t="s">
        <v>198</v>
      </c>
      <c r="D459">
        <v>2</v>
      </c>
      <c r="E459" s="7" t="s">
        <v>21</v>
      </c>
      <c r="F459">
        <v>7</v>
      </c>
      <c r="G459" t="s">
        <v>24</v>
      </c>
      <c r="H459" s="13"/>
      <c r="I459" s="13"/>
      <c r="J459">
        <v>0.66</v>
      </c>
      <c r="K459">
        <v>0.18</v>
      </c>
      <c r="L459">
        <v>3.24</v>
      </c>
      <c r="M459">
        <v>2.39</v>
      </c>
      <c r="N459">
        <v>3.32</v>
      </c>
      <c r="O459">
        <v>4</v>
      </c>
      <c r="P459">
        <f t="shared" si="7"/>
        <v>3.2375000000000003</v>
      </c>
      <c r="Q459">
        <v>0.61023419796000966</v>
      </c>
      <c r="R459">
        <v>0.68915402639047163</v>
      </c>
      <c r="S459">
        <v>0.87796263351577808</v>
      </c>
      <c r="T459">
        <v>1.0099927913105933</v>
      </c>
      <c r="U459">
        <v>0.16168370213359615</v>
      </c>
      <c r="V459">
        <v>-4.3182740745202567E-3</v>
      </c>
      <c r="W459">
        <v>481</v>
      </c>
      <c r="X459">
        <v>655</v>
      </c>
      <c r="Y459">
        <v>0.81483610596212952</v>
      </c>
      <c r="Z459">
        <v>8.8929735350933556E-2</v>
      </c>
      <c r="AB459">
        <v>19.926682761327175</v>
      </c>
      <c r="AC459">
        <v>17.835500227535992</v>
      </c>
      <c r="AD459">
        <v>110.31105789994133</v>
      </c>
      <c r="AE459" t="s">
        <v>227</v>
      </c>
    </row>
    <row r="460" spans="1:31" x14ac:dyDescent="0.3">
      <c r="A460">
        <v>458</v>
      </c>
      <c r="B460" t="s">
        <v>223</v>
      </c>
      <c r="C460" t="s">
        <v>198</v>
      </c>
      <c r="D460">
        <v>2</v>
      </c>
      <c r="E460" s="7" t="s">
        <v>21</v>
      </c>
      <c r="F460">
        <v>3</v>
      </c>
      <c r="G460" t="s">
        <v>25</v>
      </c>
      <c r="H460" s="13"/>
      <c r="I460" s="13"/>
      <c r="J460">
        <v>0.57999999999999996</v>
      </c>
      <c r="K460">
        <v>0.04</v>
      </c>
      <c r="L460">
        <v>0.82</v>
      </c>
      <c r="M460">
        <v>0.88</v>
      </c>
      <c r="N460">
        <v>0.9</v>
      </c>
      <c r="O460">
        <v>0.95</v>
      </c>
      <c r="P460">
        <f t="shared" si="7"/>
        <v>0.88749999999999996</v>
      </c>
      <c r="Q460">
        <v>7.0834924106769961E-2</v>
      </c>
      <c r="R460">
        <v>0.21170255229482846</v>
      </c>
      <c r="S460">
        <v>0.86260292474068889</v>
      </c>
      <c r="T460">
        <v>0.93283462985528764</v>
      </c>
      <c r="U460">
        <v>0.67427390607658033</v>
      </c>
      <c r="V460">
        <v>3.0195339862185411E-2</v>
      </c>
      <c r="W460">
        <v>338</v>
      </c>
      <c r="X460">
        <v>583</v>
      </c>
      <c r="Y460">
        <v>0.64228649774566926</v>
      </c>
      <c r="Z460">
        <v>0.19227120770127396</v>
      </c>
      <c r="AB460">
        <v>48.16993337397755</v>
      </c>
      <c r="AC460">
        <v>43.114621312564665</v>
      </c>
      <c r="AD460">
        <v>63.942295444053478</v>
      </c>
      <c r="AE460" t="s">
        <v>227</v>
      </c>
    </row>
    <row r="461" spans="1:31" x14ac:dyDescent="0.3">
      <c r="A461">
        <v>459</v>
      </c>
      <c r="B461" t="s">
        <v>223</v>
      </c>
      <c r="C461" t="s">
        <v>198</v>
      </c>
      <c r="D461">
        <v>2</v>
      </c>
      <c r="E461" s="7" t="s">
        <v>21</v>
      </c>
      <c r="F461">
        <v>4</v>
      </c>
      <c r="G461" t="s">
        <v>29</v>
      </c>
      <c r="H461" s="13"/>
      <c r="I461" s="13"/>
      <c r="J461">
        <v>1.1679999999999999</v>
      </c>
      <c r="K461">
        <v>0.34</v>
      </c>
      <c r="L461">
        <v>2.62</v>
      </c>
      <c r="M461">
        <v>2.74</v>
      </c>
      <c r="N461">
        <v>2.52</v>
      </c>
      <c r="O461">
        <v>2.37</v>
      </c>
      <c r="P461">
        <f t="shared" si="7"/>
        <v>2.5625</v>
      </c>
      <c r="Q461">
        <v>0.13024762703883624</v>
      </c>
      <c r="R461">
        <v>0.36325237777885638</v>
      </c>
      <c r="S461">
        <v>0.89049072685020203</v>
      </c>
      <c r="T461">
        <v>0.88703424818501653</v>
      </c>
      <c r="U461">
        <v>0.43979153421409306</v>
      </c>
      <c r="V461">
        <v>5.2059611836112143E-2</v>
      </c>
      <c r="W461">
        <v>527</v>
      </c>
      <c r="X461">
        <v>718</v>
      </c>
      <c r="Y461">
        <v>0.81461545869939744</v>
      </c>
      <c r="Z461">
        <v>8.9047352703072777E-2</v>
      </c>
      <c r="AB461">
        <v>19.951971395496539</v>
      </c>
      <c r="AC461">
        <v>17.858135093713887</v>
      </c>
      <c r="AD461">
        <v>40.605909173823349</v>
      </c>
      <c r="AE461" t="s">
        <v>227</v>
      </c>
    </row>
    <row r="462" spans="1:31" x14ac:dyDescent="0.3">
      <c r="A462">
        <v>460</v>
      </c>
      <c r="B462" t="s">
        <v>223</v>
      </c>
      <c r="C462" t="s">
        <v>198</v>
      </c>
      <c r="D462">
        <v>2</v>
      </c>
      <c r="E462" s="7" t="s">
        <v>21</v>
      </c>
      <c r="F462">
        <v>2</v>
      </c>
      <c r="G462" t="s">
        <v>28</v>
      </c>
      <c r="H462" s="13"/>
      <c r="I462" s="13"/>
      <c r="J462">
        <v>0.87</v>
      </c>
      <c r="K462">
        <v>0.254</v>
      </c>
      <c r="L462">
        <v>7</v>
      </c>
      <c r="M462">
        <v>6.73</v>
      </c>
      <c r="N462">
        <v>5.31</v>
      </c>
      <c r="O462">
        <v>7.82</v>
      </c>
      <c r="P462">
        <f t="shared" si="7"/>
        <v>6.7149999999999999</v>
      </c>
      <c r="Q462">
        <v>8.8438538973997102E-2</v>
      </c>
      <c r="R462">
        <v>0.37619696081943471</v>
      </c>
      <c r="S462">
        <v>0.8790915535118865</v>
      </c>
      <c r="T462">
        <v>0.9557127905923446</v>
      </c>
      <c r="U462">
        <v>0.42458471730419534</v>
      </c>
      <c r="V462">
        <v>1.9672601658394392E-2</v>
      </c>
      <c r="W462">
        <v>399</v>
      </c>
      <c r="X462">
        <v>606</v>
      </c>
      <c r="Y462">
        <v>0.7300416393650524</v>
      </c>
      <c r="Z462">
        <v>0.13665236833058336</v>
      </c>
      <c r="AB462">
        <v>31.470366974279649</v>
      </c>
      <c r="AC462">
        <v>28.167734640849368</v>
      </c>
      <c r="AD462">
        <v>66.341847675757222</v>
      </c>
      <c r="AE462" t="s">
        <v>227</v>
      </c>
    </row>
    <row r="463" spans="1:31" x14ac:dyDescent="0.3">
      <c r="A463">
        <v>461</v>
      </c>
      <c r="B463" t="s">
        <v>223</v>
      </c>
      <c r="C463" t="s">
        <v>198</v>
      </c>
      <c r="D463">
        <v>2</v>
      </c>
      <c r="E463" s="7" t="s">
        <v>21</v>
      </c>
      <c r="F463">
        <v>10</v>
      </c>
      <c r="G463" t="s">
        <v>22</v>
      </c>
      <c r="H463" s="13"/>
      <c r="I463" s="13"/>
      <c r="J463">
        <v>2.5419999999999998</v>
      </c>
      <c r="K463">
        <v>0.71499999999999997</v>
      </c>
      <c r="L463">
        <v>4.3</v>
      </c>
      <c r="M463">
        <v>4.6900000000000004</v>
      </c>
      <c r="N463">
        <v>3.75</v>
      </c>
      <c r="O463">
        <v>3.73</v>
      </c>
      <c r="P463">
        <f t="shared" si="7"/>
        <v>4.1174999999999997</v>
      </c>
      <c r="Q463">
        <v>6.9677126552018631E-2</v>
      </c>
      <c r="R463">
        <v>0.2947299897003699</v>
      </c>
      <c r="S463">
        <v>0.8844160891851699</v>
      </c>
      <c r="T463">
        <v>0.95462291188571402</v>
      </c>
      <c r="U463">
        <v>0.53057567107668735</v>
      </c>
      <c r="V463">
        <v>2.0168146351375843E-2</v>
      </c>
      <c r="W463">
        <v>448</v>
      </c>
      <c r="X463">
        <v>692</v>
      </c>
      <c r="Y463">
        <v>0.71807417990162148</v>
      </c>
      <c r="Z463">
        <v>0.14383068910328603</v>
      </c>
      <c r="AB463">
        <v>33.429293740274765</v>
      </c>
      <c r="AC463">
        <v>29.921072133198507</v>
      </c>
      <c r="AD463">
        <v>56.393599941136074</v>
      </c>
      <c r="AE463" t="s">
        <v>227</v>
      </c>
    </row>
    <row r="464" spans="1:31" x14ac:dyDescent="0.3">
      <c r="A464">
        <v>462</v>
      </c>
      <c r="B464" s="6" t="s">
        <v>223</v>
      </c>
      <c r="C464" s="6" t="s">
        <v>198</v>
      </c>
      <c r="D464" s="6">
        <v>3</v>
      </c>
      <c r="E464" s="7" t="s">
        <v>21</v>
      </c>
      <c r="F464" s="6">
        <v>2</v>
      </c>
      <c r="G464" s="6" t="s">
        <v>192</v>
      </c>
      <c r="H464" s="13"/>
      <c r="I464" s="13"/>
      <c r="J464" s="6">
        <v>6.3</v>
      </c>
      <c r="K464" s="6">
        <v>1.1379999999999999</v>
      </c>
      <c r="L464" s="6">
        <v>1.74</v>
      </c>
      <c r="M464" s="6">
        <v>2.2400000000000002</v>
      </c>
      <c r="N464" s="6">
        <v>1.82</v>
      </c>
      <c r="O464" s="6">
        <v>1.85</v>
      </c>
      <c r="P464">
        <f t="shared" si="7"/>
        <v>1.9125000000000001</v>
      </c>
      <c r="Q464" s="6">
        <v>3.2300294416820308E-2</v>
      </c>
      <c r="R464" s="6">
        <v>0.21387512483216345</v>
      </c>
      <c r="S464" s="6">
        <v>0.90982910675970197</v>
      </c>
      <c r="T464" s="6">
        <v>0.94451757251950874</v>
      </c>
      <c r="U464" s="6">
        <v>0.66983972396678049</v>
      </c>
      <c r="V464" s="6">
        <v>2.4789957723870316E-2</v>
      </c>
      <c r="W464" s="6">
        <v>533</v>
      </c>
      <c r="X464" s="6">
        <v>746</v>
      </c>
      <c r="Y464" s="6">
        <v>0.79295902778969762</v>
      </c>
      <c r="Z464" s="6">
        <v>0.10074925210805331</v>
      </c>
      <c r="AA464" s="6"/>
      <c r="AB464" s="6">
        <v>22.54607652261658</v>
      </c>
      <c r="AC464" s="6">
        <v>20.18001303653736</v>
      </c>
      <c r="AD464" s="6">
        <v>30.12662927339041</v>
      </c>
      <c r="AE464" t="s">
        <v>227</v>
      </c>
    </row>
    <row r="465" spans="1:31" x14ac:dyDescent="0.3">
      <c r="A465">
        <v>463</v>
      </c>
      <c r="B465" s="6" t="s">
        <v>223</v>
      </c>
      <c r="C465" s="6" t="s">
        <v>198</v>
      </c>
      <c r="D465" s="6">
        <v>3</v>
      </c>
      <c r="E465" s="7" t="s">
        <v>21</v>
      </c>
      <c r="F465" s="6">
        <v>3</v>
      </c>
      <c r="G465" s="6" t="s">
        <v>22</v>
      </c>
      <c r="H465" s="13"/>
      <c r="I465" s="13"/>
      <c r="J465" s="6">
        <v>1.8480000000000001</v>
      </c>
      <c r="K465" s="6">
        <v>0.54200000000000004</v>
      </c>
      <c r="L465" s="6">
        <v>3.17</v>
      </c>
      <c r="M465" s="6">
        <v>3.55</v>
      </c>
      <c r="N465" s="6">
        <v>3.38</v>
      </c>
      <c r="O465" s="6">
        <v>4.4800000000000004</v>
      </c>
      <c r="P465">
        <f t="shared" si="7"/>
        <v>3.645</v>
      </c>
      <c r="Q465" s="6">
        <v>8.7900282741564778E-2</v>
      </c>
      <c r="R465" s="6">
        <v>0.84158708093047196</v>
      </c>
      <c r="S465" s="6">
        <v>1.006024458576152</v>
      </c>
      <c r="T465" s="6">
        <v>0.91216319911243227</v>
      </c>
      <c r="U465" s="6">
        <v>7.490093992473669E-2</v>
      </c>
      <c r="V465" s="6">
        <v>3.9927453192206037E-2</v>
      </c>
      <c r="W465" s="6">
        <v>566</v>
      </c>
      <c r="X465" s="6">
        <v>726</v>
      </c>
      <c r="Y465" s="6">
        <v>0.86547314578005108</v>
      </c>
      <c r="Z465" s="6">
        <v>6.2746403028880918E-2</v>
      </c>
      <c r="AA465" s="6"/>
      <c r="AB465" s="6">
        <v>14.685957623410035</v>
      </c>
      <c r="AC465" s="6">
        <v>13.144712584628266</v>
      </c>
      <c r="AD465" s="6">
        <v>175.49462794240731</v>
      </c>
      <c r="AE465" t="s">
        <v>227</v>
      </c>
    </row>
    <row r="466" spans="1:31" x14ac:dyDescent="0.3">
      <c r="A466">
        <v>464</v>
      </c>
      <c r="B466" s="6" t="s">
        <v>223</v>
      </c>
      <c r="C466" s="6" t="s">
        <v>198</v>
      </c>
      <c r="D466" s="6">
        <v>3</v>
      </c>
      <c r="E466" s="7" t="s">
        <v>21</v>
      </c>
      <c r="F466" s="6">
        <v>7</v>
      </c>
      <c r="G466" s="6" t="s">
        <v>28</v>
      </c>
      <c r="H466" s="13"/>
      <c r="I466" s="13"/>
      <c r="J466" s="6">
        <v>1.216</v>
      </c>
      <c r="K466" s="6">
        <v>0.17599999999999999</v>
      </c>
      <c r="L466" s="6">
        <v>2.76</v>
      </c>
      <c r="M466" s="6">
        <v>2.4900000000000002</v>
      </c>
      <c r="N466" s="6">
        <v>1.94</v>
      </c>
      <c r="O466" s="6">
        <v>2.33</v>
      </c>
      <c r="P466">
        <f t="shared" si="7"/>
        <v>2.38</v>
      </c>
      <c r="Q466" s="6">
        <v>0.60952374253114727</v>
      </c>
      <c r="R466" s="6">
        <v>0.69250684271478302</v>
      </c>
      <c r="S466" s="6">
        <v>0.85093580341509578</v>
      </c>
      <c r="T466" s="6">
        <v>1.012017274083729</v>
      </c>
      <c r="U466" s="6">
        <v>0.15957593094425118</v>
      </c>
      <c r="V466" s="6">
        <v>-5.1879255227694808E-3</v>
      </c>
      <c r="W466" s="6">
        <v>455</v>
      </c>
      <c r="X466" s="6">
        <v>650</v>
      </c>
      <c r="Y466" s="6">
        <v>0.77654388612817671</v>
      </c>
      <c r="Z466" s="6">
        <v>0.10983399522876686</v>
      </c>
      <c r="AA466" s="6"/>
      <c r="AB466" s="6">
        <v>24.666646625132014</v>
      </c>
      <c r="AC466" s="6">
        <v>22.078043783612774</v>
      </c>
      <c r="AD466" s="6">
        <v>138.35447271384476</v>
      </c>
      <c r="AE466" t="s">
        <v>227</v>
      </c>
    </row>
    <row r="467" spans="1:31" x14ac:dyDescent="0.3">
      <c r="A467">
        <v>465</v>
      </c>
      <c r="B467" s="6" t="s">
        <v>223</v>
      </c>
      <c r="C467" s="6" t="s">
        <v>198</v>
      </c>
      <c r="D467" s="6">
        <v>3</v>
      </c>
      <c r="E467" s="7" t="s">
        <v>21</v>
      </c>
      <c r="F467" s="6">
        <v>12</v>
      </c>
      <c r="G467" s="6" t="s">
        <v>25</v>
      </c>
      <c r="H467" s="13"/>
      <c r="I467" s="13"/>
      <c r="J467" s="6">
        <v>1.05</v>
      </c>
      <c r="K467" s="6">
        <v>0.128</v>
      </c>
      <c r="L467" s="6">
        <v>1.1599999999999999</v>
      </c>
      <c r="M467" s="6">
        <v>1.1100000000000001</v>
      </c>
      <c r="N467" s="6">
        <v>1.1000000000000001</v>
      </c>
      <c r="O467" s="6">
        <v>0.92</v>
      </c>
      <c r="P467">
        <f t="shared" si="7"/>
        <v>1.0725</v>
      </c>
      <c r="Q467" s="6">
        <v>8.4955681531885333E-2</v>
      </c>
      <c r="R467" s="6">
        <v>0.4284645256684293</v>
      </c>
      <c r="S467" s="6">
        <v>0.83810921557850215</v>
      </c>
      <c r="T467" s="6">
        <v>0.97697929845886333</v>
      </c>
      <c r="U467" s="6">
        <v>0.36808512926985737</v>
      </c>
      <c r="V467" s="6">
        <v>1.0114638594772412E-2</v>
      </c>
      <c r="W467" s="6">
        <v>469</v>
      </c>
      <c r="X467" s="6">
        <v>722</v>
      </c>
      <c r="Y467" s="6">
        <v>0.72059976375522772</v>
      </c>
      <c r="Z467" s="6">
        <v>0.14230588459454635</v>
      </c>
      <c r="AA467" s="6"/>
      <c r="AB467" s="6">
        <v>33.008314271032752</v>
      </c>
      <c r="AC467" s="6">
        <v>29.544274635012137</v>
      </c>
      <c r="AD467" s="6">
        <v>80.264787370293604</v>
      </c>
      <c r="AE467" t="s">
        <v>227</v>
      </c>
    </row>
    <row r="468" spans="1:31" x14ac:dyDescent="0.3">
      <c r="A468">
        <v>466</v>
      </c>
      <c r="B468" s="6" t="s">
        <v>223</v>
      </c>
      <c r="C468" s="6" t="s">
        <v>198</v>
      </c>
      <c r="D468" s="6">
        <v>3</v>
      </c>
      <c r="E468" s="7" t="s">
        <v>21</v>
      </c>
      <c r="F468" s="6">
        <v>5</v>
      </c>
      <c r="G468" s="6" t="s">
        <v>24</v>
      </c>
      <c r="H468" s="13"/>
      <c r="I468" s="13"/>
      <c r="J468" s="6">
        <v>1.2230000000000001</v>
      </c>
      <c r="K468" s="6">
        <v>0.33</v>
      </c>
      <c r="L468" s="6">
        <v>3.94</v>
      </c>
      <c r="M468" s="6">
        <v>2.38</v>
      </c>
      <c r="N468" s="6">
        <v>2.4500000000000002</v>
      </c>
      <c r="O468" s="6">
        <v>3.8</v>
      </c>
      <c r="P468">
        <f t="shared" si="7"/>
        <v>3.1425000000000001</v>
      </c>
      <c r="Q468" s="6" t="s">
        <v>225</v>
      </c>
      <c r="R468" s="6" t="s">
        <v>225</v>
      </c>
      <c r="S468" s="6" t="s">
        <v>225</v>
      </c>
      <c r="T468" s="6" t="s">
        <v>225</v>
      </c>
      <c r="U468" s="6" t="s">
        <v>225</v>
      </c>
      <c r="V468" s="6" t="s">
        <v>225</v>
      </c>
      <c r="W468" s="6" t="s">
        <v>225</v>
      </c>
      <c r="X468" s="6" t="s">
        <v>225</v>
      </c>
      <c r="Y468" s="6" t="s">
        <v>225</v>
      </c>
      <c r="Z468" s="6" t="s">
        <v>225</v>
      </c>
      <c r="AA468" s="6"/>
      <c r="AB468" s="6" t="s">
        <v>225</v>
      </c>
      <c r="AC468" s="6" t="s">
        <v>225</v>
      </c>
      <c r="AD468" s="6" t="s">
        <v>225</v>
      </c>
      <c r="AE468" t="s">
        <v>227</v>
      </c>
    </row>
    <row r="469" spans="1:31" x14ac:dyDescent="0.3">
      <c r="A469">
        <v>467</v>
      </c>
      <c r="B469" t="s">
        <v>223</v>
      </c>
      <c r="C469" t="s">
        <v>198</v>
      </c>
      <c r="D469">
        <v>4</v>
      </c>
      <c r="E469" s="7" t="s">
        <v>21</v>
      </c>
      <c r="F469">
        <v>9</v>
      </c>
      <c r="G469" t="s">
        <v>29</v>
      </c>
      <c r="H469" s="13"/>
      <c r="I469" s="13"/>
      <c r="J469" s="7">
        <v>0.72</v>
      </c>
      <c r="K469" s="7">
        <v>0.20599999999999999</v>
      </c>
      <c r="L469" s="7">
        <v>2.96</v>
      </c>
      <c r="M469" s="7">
        <v>2.68</v>
      </c>
      <c r="N469" s="7">
        <v>2.68</v>
      </c>
      <c r="O469" s="7">
        <v>4.09</v>
      </c>
      <c r="P469">
        <f t="shared" si="7"/>
        <v>3.1025</v>
      </c>
      <c r="Q469">
        <v>7.5906945355860567E-2</v>
      </c>
      <c r="R469">
        <v>0.41171102013933553</v>
      </c>
      <c r="S469">
        <v>0.87712192868668082</v>
      </c>
      <c r="T469">
        <v>0.9427737106723264</v>
      </c>
      <c r="U469">
        <v>0.38540750822318393</v>
      </c>
      <c r="V469">
        <v>2.559253631861589E-2</v>
      </c>
      <c r="W469">
        <v>372</v>
      </c>
      <c r="X469">
        <v>548</v>
      </c>
      <c r="Y469">
        <v>0.75253533573034959</v>
      </c>
      <c r="Z469">
        <v>0.12347310270766532</v>
      </c>
      <c r="AB469">
        <v>28.025326527777583</v>
      </c>
      <c r="AC469">
        <v>25.084244955027835</v>
      </c>
      <c r="AD469">
        <v>65.08499294855956</v>
      </c>
      <c r="AE469" t="s">
        <v>227</v>
      </c>
    </row>
    <row r="470" spans="1:31" x14ac:dyDescent="0.3">
      <c r="A470">
        <v>468</v>
      </c>
      <c r="B470" t="s">
        <v>223</v>
      </c>
      <c r="C470" t="s">
        <v>198</v>
      </c>
      <c r="D470">
        <v>4</v>
      </c>
      <c r="E470" s="7" t="s">
        <v>21</v>
      </c>
      <c r="F470">
        <v>6</v>
      </c>
      <c r="G470" t="s">
        <v>28</v>
      </c>
      <c r="H470" s="13"/>
      <c r="I470" s="13"/>
      <c r="J470" s="7">
        <v>0.75</v>
      </c>
      <c r="K470" s="7">
        <v>0.24399999999999999</v>
      </c>
      <c r="L470" s="7">
        <v>4.3099999999999996</v>
      </c>
      <c r="M470" s="7">
        <v>4.13</v>
      </c>
      <c r="N470" s="7">
        <v>3.34</v>
      </c>
      <c r="O470" s="7">
        <v>3.53</v>
      </c>
      <c r="P470">
        <f t="shared" si="7"/>
        <v>3.8274999999999997</v>
      </c>
      <c r="Q470">
        <v>3.7974319688974342E-2</v>
      </c>
      <c r="R470">
        <v>0.1190291307575954</v>
      </c>
      <c r="S470">
        <v>0.90039818451565967</v>
      </c>
      <c r="T470">
        <v>0.92185422607282486</v>
      </c>
      <c r="U470">
        <v>0.92434673794334266</v>
      </c>
      <c r="V470">
        <v>3.5337749030387319E-2</v>
      </c>
      <c r="W470">
        <v>458</v>
      </c>
      <c r="X470">
        <v>613</v>
      </c>
      <c r="Y470">
        <v>0.82894538889724689</v>
      </c>
      <c r="Z470">
        <v>8.1474079922355683E-2</v>
      </c>
      <c r="AB470">
        <v>18.355545760690177</v>
      </c>
      <c r="AC470">
        <v>16.429235399028887</v>
      </c>
      <c r="AD470">
        <v>17.773888006121691</v>
      </c>
      <c r="AE470" t="s">
        <v>227</v>
      </c>
    </row>
    <row r="471" spans="1:31" x14ac:dyDescent="0.3">
      <c r="A471">
        <v>469</v>
      </c>
      <c r="B471" t="s">
        <v>223</v>
      </c>
      <c r="C471" t="s">
        <v>198</v>
      </c>
      <c r="D471">
        <v>4</v>
      </c>
      <c r="E471" s="7" t="s">
        <v>21</v>
      </c>
      <c r="F471">
        <v>3</v>
      </c>
      <c r="G471" t="s">
        <v>22</v>
      </c>
      <c r="H471" s="13"/>
      <c r="I471" s="13"/>
      <c r="J471" s="7">
        <v>0.53</v>
      </c>
      <c r="K471" s="7">
        <v>0.16600000000000001</v>
      </c>
      <c r="L471" s="7">
        <v>3.4</v>
      </c>
      <c r="M471" s="7">
        <v>3.58</v>
      </c>
      <c r="N471" s="7">
        <v>3.61</v>
      </c>
      <c r="O471" s="7">
        <v>3.67</v>
      </c>
      <c r="P471">
        <f t="shared" si="7"/>
        <v>3.5649999999999999</v>
      </c>
      <c r="Q471">
        <v>2.7756684310020735E-2</v>
      </c>
      <c r="R471">
        <v>0.19479776638354773</v>
      </c>
      <c r="S471">
        <v>0.91875745354809402</v>
      </c>
      <c r="T471">
        <v>0.95546837527072614</v>
      </c>
      <c r="U471">
        <v>0.71041602719488439</v>
      </c>
      <c r="V471">
        <v>1.9783682939380355E-2</v>
      </c>
      <c r="W471">
        <v>517</v>
      </c>
      <c r="X471">
        <v>732</v>
      </c>
      <c r="Y471">
        <v>0.78379475265988152</v>
      </c>
      <c r="Z471">
        <v>0.10579764835789893</v>
      </c>
      <c r="AB471">
        <v>23.712971035313597</v>
      </c>
      <c r="AC471">
        <v>21.224450475772759</v>
      </c>
      <c r="AD471">
        <v>29.876086213283553</v>
      </c>
      <c r="AE471" t="s">
        <v>227</v>
      </c>
    </row>
    <row r="472" spans="1:31" x14ac:dyDescent="0.3">
      <c r="A472">
        <v>470</v>
      </c>
      <c r="B472" t="s">
        <v>224</v>
      </c>
      <c r="C472" t="s">
        <v>198</v>
      </c>
      <c r="D472">
        <v>1</v>
      </c>
      <c r="E472" s="7" t="s">
        <v>21</v>
      </c>
      <c r="F472">
        <v>2</v>
      </c>
      <c r="G472" t="s">
        <v>28</v>
      </c>
      <c r="H472" s="13"/>
      <c r="I472" s="13"/>
      <c r="J472" s="7">
        <v>0.92700000000000005</v>
      </c>
      <c r="K472" s="7">
        <v>0.187</v>
      </c>
      <c r="L472" s="7">
        <v>3.17</v>
      </c>
      <c r="M472" s="7">
        <v>3.27</v>
      </c>
      <c r="N472" s="7">
        <v>3.57</v>
      </c>
      <c r="O472" s="7">
        <v>3.51</v>
      </c>
      <c r="P472">
        <f t="shared" si="7"/>
        <v>3.38</v>
      </c>
      <c r="Q472">
        <v>7.0250630973570385E-2</v>
      </c>
      <c r="R472">
        <v>0.68023000756462959</v>
      </c>
      <c r="S472">
        <v>0.89358580316684333</v>
      </c>
      <c r="T472">
        <v>0.95437861731557538</v>
      </c>
      <c r="U472">
        <v>0.16734421357900781</v>
      </c>
      <c r="V472">
        <v>2.0279299519905401E-2</v>
      </c>
      <c r="W472">
        <v>446</v>
      </c>
      <c r="X472">
        <v>674</v>
      </c>
      <c r="Y472">
        <v>0.73397354290252825</v>
      </c>
      <c r="Z472">
        <v>0.13431959455058651</v>
      </c>
      <c r="AB472">
        <v>30.84629459797377</v>
      </c>
      <c r="AC472">
        <v>27.609158129233485</v>
      </c>
      <c r="AD472">
        <v>164.98424139534674</v>
      </c>
      <c r="AE472" t="s">
        <v>227</v>
      </c>
    </row>
    <row r="473" spans="1:31" x14ac:dyDescent="0.3">
      <c r="A473">
        <v>471</v>
      </c>
      <c r="B473" t="s">
        <v>224</v>
      </c>
      <c r="C473" t="s">
        <v>198</v>
      </c>
      <c r="D473">
        <v>1</v>
      </c>
      <c r="E473" s="7" t="s">
        <v>21</v>
      </c>
      <c r="F473">
        <v>12</v>
      </c>
      <c r="G473" t="s">
        <v>27</v>
      </c>
      <c r="H473" s="13"/>
      <c r="I473" s="13"/>
      <c r="J473" s="7">
        <v>0.48099999999999998</v>
      </c>
      <c r="K473" s="7">
        <v>0.03</v>
      </c>
      <c r="L473" s="7">
        <v>2.12</v>
      </c>
      <c r="M473" s="7">
        <v>1.83</v>
      </c>
      <c r="N473" s="7">
        <v>1.59</v>
      </c>
      <c r="O473" s="7">
        <v>1.94</v>
      </c>
      <c r="P473">
        <f t="shared" si="7"/>
        <v>1.87</v>
      </c>
      <c r="Q473">
        <v>0.44173111585655128</v>
      </c>
      <c r="R473">
        <v>0.73578807526914425</v>
      </c>
      <c r="S473">
        <v>0.86699540201357927</v>
      </c>
      <c r="T473">
        <v>0.95275745727345207</v>
      </c>
      <c r="U473">
        <v>0.13324725494845621</v>
      </c>
      <c r="V473">
        <v>2.1017643300968978E-2</v>
      </c>
      <c r="W473">
        <v>460</v>
      </c>
      <c r="X473">
        <v>659</v>
      </c>
      <c r="Y473">
        <v>0.77437635553758954</v>
      </c>
      <c r="Z473">
        <v>0.11104791605131586</v>
      </c>
      <c r="AB473">
        <v>24.957061269682779</v>
      </c>
      <c r="AC473">
        <v>22.337981062884648</v>
      </c>
      <c r="AD473">
        <v>167.64308631743</v>
      </c>
      <c r="AE473" t="s">
        <v>227</v>
      </c>
    </row>
    <row r="474" spans="1:31" x14ac:dyDescent="0.3">
      <c r="A474">
        <v>472</v>
      </c>
      <c r="B474" t="s">
        <v>224</v>
      </c>
      <c r="C474" t="s">
        <v>198</v>
      </c>
      <c r="D474">
        <v>1</v>
      </c>
      <c r="E474" s="7" t="s">
        <v>21</v>
      </c>
      <c r="F474">
        <v>11</v>
      </c>
      <c r="G474" t="s">
        <v>29</v>
      </c>
      <c r="H474" s="13"/>
      <c r="I474" s="13"/>
      <c r="J474" s="7">
        <v>0.79</v>
      </c>
      <c r="K474" s="7">
        <v>0.214</v>
      </c>
      <c r="L474" s="7">
        <v>1.71</v>
      </c>
      <c r="M474" s="7">
        <v>2.11</v>
      </c>
      <c r="N474" s="7">
        <v>1.88</v>
      </c>
      <c r="O474" s="7">
        <v>2.38</v>
      </c>
      <c r="P474">
        <f t="shared" si="7"/>
        <v>2.0199999999999996</v>
      </c>
      <c r="Q474">
        <v>9.3366199503340061E-2</v>
      </c>
      <c r="R474">
        <v>0.47814873521187568</v>
      </c>
      <c r="S474">
        <v>0.82353279224323672</v>
      </c>
      <c r="T474">
        <v>0.97634302060998202</v>
      </c>
      <c r="U474">
        <v>0.32043698867209575</v>
      </c>
      <c r="V474">
        <v>1.0397573946303938E-2</v>
      </c>
      <c r="W474">
        <v>430</v>
      </c>
      <c r="X474">
        <v>696</v>
      </c>
      <c r="Y474">
        <v>0.68512760124381311</v>
      </c>
      <c r="Z474">
        <v>0.16422853601817133</v>
      </c>
      <c r="AB474">
        <v>39.31341294920675</v>
      </c>
      <c r="AC474">
        <v>35.187640566166976</v>
      </c>
      <c r="AD474">
        <v>109.81141943689468</v>
      </c>
      <c r="AE474" t="s">
        <v>227</v>
      </c>
    </row>
    <row r="475" spans="1:31" x14ac:dyDescent="0.3">
      <c r="A475">
        <v>473</v>
      </c>
      <c r="B475" t="s">
        <v>224</v>
      </c>
      <c r="C475" t="s">
        <v>198</v>
      </c>
      <c r="D475">
        <v>1</v>
      </c>
      <c r="E475" s="7" t="s">
        <v>21</v>
      </c>
      <c r="F475">
        <v>9</v>
      </c>
      <c r="G475" t="s">
        <v>25</v>
      </c>
      <c r="H475" s="13"/>
      <c r="I475" s="13"/>
      <c r="J475" s="7">
        <v>0.44</v>
      </c>
      <c r="K475" s="7">
        <v>3.3000000000000002E-2</v>
      </c>
      <c r="L475" s="7">
        <v>0.6</v>
      </c>
      <c r="M475" s="7">
        <v>0.62</v>
      </c>
      <c r="N475" s="7">
        <v>0.59</v>
      </c>
      <c r="O475" s="7">
        <v>0.62</v>
      </c>
      <c r="P475">
        <f t="shared" si="7"/>
        <v>0.60750000000000004</v>
      </c>
      <c r="Q475">
        <v>0.50914697617830407</v>
      </c>
      <c r="R475">
        <v>0.61056803285623695</v>
      </c>
      <c r="S475">
        <v>0.83914660733772362</v>
      </c>
      <c r="T475">
        <v>1.0020812769461578</v>
      </c>
      <c r="U475">
        <v>0.21426593753746856</v>
      </c>
      <c r="V475">
        <v>-9.0294777643728564E-4</v>
      </c>
      <c r="W475">
        <v>457</v>
      </c>
      <c r="X475">
        <v>670</v>
      </c>
      <c r="Y475">
        <v>0.75665477733304276</v>
      </c>
      <c r="Z475">
        <v>0.1211022215519402</v>
      </c>
      <c r="AB475">
        <v>27.426401559066157</v>
      </c>
      <c r="AC475">
        <v>24.548175206449088</v>
      </c>
      <c r="AD475">
        <v>114.56872468194513</v>
      </c>
      <c r="AE475" t="s">
        <v>227</v>
      </c>
    </row>
    <row r="476" spans="1:31" x14ac:dyDescent="0.3">
      <c r="A476">
        <v>474</v>
      </c>
      <c r="B476" t="s">
        <v>224</v>
      </c>
      <c r="C476" t="s">
        <v>198</v>
      </c>
      <c r="D476">
        <v>2</v>
      </c>
      <c r="E476" s="7" t="s">
        <v>21</v>
      </c>
      <c r="F476">
        <v>11</v>
      </c>
      <c r="G476" t="s">
        <v>28</v>
      </c>
      <c r="H476" s="13"/>
      <c r="I476" s="13"/>
      <c r="J476" s="7">
        <v>0.66</v>
      </c>
      <c r="K476" s="7">
        <v>9.2999999999999999E-2</v>
      </c>
      <c r="L476" s="7">
        <v>3.13</v>
      </c>
      <c r="M476" s="7">
        <v>3.42</v>
      </c>
      <c r="N476" s="7">
        <v>2.98</v>
      </c>
      <c r="O476" s="7">
        <v>4.2699999999999996</v>
      </c>
      <c r="P476">
        <f t="shared" si="7"/>
        <v>3.4499999999999997</v>
      </c>
      <c r="Q476">
        <v>7.3356951390769087E-2</v>
      </c>
      <c r="R476">
        <v>0.78289444512323181</v>
      </c>
      <c r="S476">
        <v>0.91397723786886353</v>
      </c>
      <c r="T476">
        <v>0.93845706888608416</v>
      </c>
      <c r="U476">
        <v>0.106296788377216</v>
      </c>
      <c r="V476">
        <v>2.7585590035000267E-2</v>
      </c>
      <c r="W476">
        <v>437</v>
      </c>
      <c r="X476">
        <v>664</v>
      </c>
      <c r="Y476">
        <v>0.72994178981842583</v>
      </c>
      <c r="Z476">
        <v>0.13671177189136532</v>
      </c>
      <c r="AB476">
        <v>31.48633908616991</v>
      </c>
      <c r="AC476">
        <v>28.182030489909742</v>
      </c>
      <c r="AD476">
        <v>265.12588875121997</v>
      </c>
      <c r="AE476" t="s">
        <v>227</v>
      </c>
    </row>
    <row r="477" spans="1:31" x14ac:dyDescent="0.3">
      <c r="A477">
        <v>475</v>
      </c>
      <c r="B477" t="s">
        <v>224</v>
      </c>
      <c r="C477" t="s">
        <v>198</v>
      </c>
      <c r="D477">
        <v>2</v>
      </c>
      <c r="E477" s="7" t="s">
        <v>21</v>
      </c>
      <c r="F477">
        <v>5</v>
      </c>
      <c r="G477" t="s">
        <v>27</v>
      </c>
      <c r="H477" s="13"/>
      <c r="I477" s="13"/>
      <c r="J477" s="7">
        <v>0.38</v>
      </c>
      <c r="K477" s="7">
        <v>2.9000000000000001E-2</v>
      </c>
      <c r="L477" s="7">
        <v>1.22</v>
      </c>
      <c r="M477" s="7">
        <v>1.22</v>
      </c>
      <c r="N477" s="7">
        <v>1.1599999999999999</v>
      </c>
      <c r="O477" s="7">
        <v>1.0900000000000001</v>
      </c>
      <c r="P477">
        <f t="shared" si="7"/>
        <v>1.1724999999999999</v>
      </c>
      <c r="Q477">
        <v>0.31031834793675112</v>
      </c>
      <c r="R477">
        <v>0.66385223680890548</v>
      </c>
      <c r="S477">
        <v>0.88838433220491875</v>
      </c>
      <c r="T477">
        <v>0.9264594725608426</v>
      </c>
      <c r="U477">
        <v>0.17792857707764229</v>
      </c>
      <c r="V477">
        <v>3.3173573893011912E-2</v>
      </c>
      <c r="W477">
        <v>492</v>
      </c>
      <c r="X477">
        <v>720</v>
      </c>
      <c r="Y477">
        <v>0.75819285808294412</v>
      </c>
      <c r="Z477">
        <v>0.12022031079559843</v>
      </c>
      <c r="AB477">
        <v>27.205235874828261</v>
      </c>
      <c r="AC477">
        <v>24.350220068553853</v>
      </c>
      <c r="AD477">
        <v>136.85390210212384</v>
      </c>
      <c r="AE477" t="s">
        <v>227</v>
      </c>
    </row>
    <row r="478" spans="1:31" x14ac:dyDescent="0.3">
      <c r="A478">
        <v>476</v>
      </c>
      <c r="B478" t="s">
        <v>224</v>
      </c>
      <c r="C478" t="s">
        <v>198</v>
      </c>
      <c r="D478">
        <v>2</v>
      </c>
      <c r="E478" s="7" t="s">
        <v>21</v>
      </c>
      <c r="F478">
        <v>9</v>
      </c>
      <c r="G478" t="s">
        <v>29</v>
      </c>
      <c r="H478" s="13"/>
      <c r="I478" s="13"/>
      <c r="J478" s="7">
        <v>0.91</v>
      </c>
      <c r="K478" s="7">
        <v>0.19800000000000001</v>
      </c>
      <c r="L478" s="7">
        <v>2.78</v>
      </c>
      <c r="M478" s="7">
        <v>2.5099999999999998</v>
      </c>
      <c r="N478" s="7">
        <v>2.42</v>
      </c>
      <c r="O478" s="7">
        <v>2.2400000000000002</v>
      </c>
      <c r="P478">
        <f t="shared" si="7"/>
        <v>2.4874999999999998</v>
      </c>
      <c r="Q478">
        <v>0.17538294333942306</v>
      </c>
      <c r="R478">
        <v>0.3410910921318705</v>
      </c>
      <c r="S478">
        <v>0.87805370552547846</v>
      </c>
      <c r="T478">
        <v>0.94789106770706566</v>
      </c>
      <c r="U478">
        <v>0.467129622394098</v>
      </c>
      <c r="V478">
        <v>2.3241569214668013E-2</v>
      </c>
      <c r="W478">
        <v>478</v>
      </c>
      <c r="X478">
        <v>718</v>
      </c>
      <c r="Y478">
        <v>0.73858468255412035</v>
      </c>
      <c r="Z478">
        <v>0.13159970338853649</v>
      </c>
      <c r="AB478">
        <v>30.126419906543681</v>
      </c>
      <c r="AC478">
        <v>26.964833356493934</v>
      </c>
      <c r="AD478">
        <v>57.724520269761044</v>
      </c>
      <c r="AE478" t="s">
        <v>227</v>
      </c>
    </row>
    <row r="479" spans="1:31" x14ac:dyDescent="0.3">
      <c r="A479">
        <v>477</v>
      </c>
      <c r="B479" t="s">
        <v>224</v>
      </c>
      <c r="C479" t="s">
        <v>198</v>
      </c>
      <c r="D479">
        <v>2</v>
      </c>
      <c r="E479" s="7" t="s">
        <v>21</v>
      </c>
      <c r="F479">
        <v>10</v>
      </c>
      <c r="G479" t="s">
        <v>192</v>
      </c>
      <c r="H479" s="13"/>
      <c r="I479" s="13"/>
      <c r="J479" s="7">
        <v>0.74</v>
      </c>
      <c r="K479" s="7">
        <v>0.105</v>
      </c>
      <c r="L479" s="7">
        <v>1.79</v>
      </c>
      <c r="M479" s="7">
        <v>1.59</v>
      </c>
      <c r="N479" s="7">
        <v>1.71</v>
      </c>
      <c r="O479" s="7">
        <v>1.58</v>
      </c>
      <c r="P479">
        <f t="shared" si="7"/>
        <v>1.6675</v>
      </c>
      <c r="Q479">
        <v>0.19207371476774074</v>
      </c>
      <c r="R479">
        <v>0.81846383828369451</v>
      </c>
      <c r="S479">
        <v>0.86734989838536747</v>
      </c>
      <c r="T479">
        <v>0.95276940370092789</v>
      </c>
      <c r="U479">
        <v>8.7000504011088414E-2</v>
      </c>
      <c r="V479">
        <v>2.101219780698246E-2</v>
      </c>
      <c r="W479">
        <v>373</v>
      </c>
      <c r="X479">
        <v>584</v>
      </c>
      <c r="Y479">
        <v>0.70797488956056731</v>
      </c>
      <c r="Z479">
        <v>0.14998214558519768</v>
      </c>
      <c r="AB479">
        <v>35.154300181349278</v>
      </c>
      <c r="AC479">
        <v>31.465037371242353</v>
      </c>
      <c r="AD479">
        <v>361.66500101231668</v>
      </c>
      <c r="AE479" t="s">
        <v>227</v>
      </c>
    </row>
    <row r="480" spans="1:31" x14ac:dyDescent="0.3">
      <c r="A480">
        <v>478</v>
      </c>
      <c r="B480" t="s">
        <v>224</v>
      </c>
      <c r="C480" t="s">
        <v>198</v>
      </c>
      <c r="D480">
        <v>2</v>
      </c>
      <c r="E480" s="7" t="s">
        <v>21</v>
      </c>
      <c r="F480">
        <v>12</v>
      </c>
      <c r="G480" t="s">
        <v>22</v>
      </c>
      <c r="H480" s="13"/>
      <c r="I480" s="13"/>
      <c r="J480" s="7">
        <v>1.84</v>
      </c>
      <c r="K480" s="7">
        <v>0.54400000000000004</v>
      </c>
      <c r="L480" s="7">
        <v>4.4000000000000004</v>
      </c>
      <c r="M480" s="7">
        <v>4.5599999999999996</v>
      </c>
      <c r="N480" s="7">
        <v>3.95</v>
      </c>
      <c r="O480" s="7">
        <v>4.26</v>
      </c>
      <c r="P480">
        <f t="shared" si="7"/>
        <v>4.2925000000000004</v>
      </c>
      <c r="Q480">
        <v>3.4245701082620442E-2</v>
      </c>
      <c r="R480">
        <v>0.16551794983832088</v>
      </c>
      <c r="S480">
        <v>0.82981267666617764</v>
      </c>
      <c r="T480">
        <v>1.0177112947556179</v>
      </c>
      <c r="U480">
        <v>0.78115490162832024</v>
      </c>
      <c r="V480">
        <v>-7.6245944278086853E-3</v>
      </c>
      <c r="W480">
        <v>408</v>
      </c>
      <c r="X480">
        <v>700</v>
      </c>
      <c r="Y480">
        <v>0.64619167316114723</v>
      </c>
      <c r="Z480">
        <v>0.1896386426097168</v>
      </c>
      <c r="AB480">
        <v>47.300732552854527</v>
      </c>
      <c r="AC480">
        <v>42.336649123500791</v>
      </c>
      <c r="AD480">
        <v>54.197508119388218</v>
      </c>
      <c r="AE480" t="s">
        <v>227</v>
      </c>
    </row>
    <row r="481" spans="1:31" x14ac:dyDescent="0.3">
      <c r="A481">
        <v>479</v>
      </c>
      <c r="B481" t="s">
        <v>224</v>
      </c>
      <c r="C481" t="s">
        <v>198</v>
      </c>
      <c r="D481">
        <v>2</v>
      </c>
      <c r="E481" s="7" t="s">
        <v>21</v>
      </c>
      <c r="F481">
        <v>15</v>
      </c>
      <c r="G481" t="s">
        <v>26</v>
      </c>
      <c r="H481" s="13"/>
      <c r="I481" s="13"/>
      <c r="J481" s="7">
        <v>3.07</v>
      </c>
      <c r="K481" s="7">
        <v>0.30399999999999999</v>
      </c>
      <c r="L481" s="7">
        <v>1.36</v>
      </c>
      <c r="M481" s="7">
        <v>1.41</v>
      </c>
      <c r="N481" s="7">
        <v>1.53</v>
      </c>
      <c r="O481" s="7">
        <v>1.75</v>
      </c>
      <c r="P481">
        <f t="shared" si="7"/>
        <v>1.5125</v>
      </c>
      <c r="Q481">
        <v>0.32884301876141819</v>
      </c>
      <c r="R481">
        <v>0.77901736719948378</v>
      </c>
      <c r="S481">
        <v>0.8152467478356249</v>
      </c>
      <c r="T481">
        <v>0.99583886490625573</v>
      </c>
      <c r="U481">
        <v>0.10845286017746593</v>
      </c>
      <c r="V481">
        <v>1.8109283869753162E-3</v>
      </c>
      <c r="W481">
        <v>488</v>
      </c>
      <c r="X481">
        <v>745</v>
      </c>
      <c r="Y481">
        <v>0.72673459285537489</v>
      </c>
      <c r="Z481">
        <v>0.13862416672481484</v>
      </c>
      <c r="AB481">
        <v>32.002663064858453</v>
      </c>
      <c r="AC481">
        <v>28.644166513758115</v>
      </c>
      <c r="AD481">
        <v>264.11628487147755</v>
      </c>
      <c r="AE481" t="s">
        <v>227</v>
      </c>
    </row>
    <row r="482" spans="1:31" x14ac:dyDescent="0.3">
      <c r="A482">
        <v>480</v>
      </c>
      <c r="B482" t="s">
        <v>224</v>
      </c>
      <c r="C482" t="s">
        <v>198</v>
      </c>
      <c r="D482">
        <v>3</v>
      </c>
      <c r="E482" s="7" t="s">
        <v>21</v>
      </c>
      <c r="F482">
        <v>6</v>
      </c>
      <c r="G482" t="s">
        <v>192</v>
      </c>
      <c r="H482" s="13"/>
      <c r="I482" s="13"/>
      <c r="J482" s="7">
        <v>0.37</v>
      </c>
      <c r="K482" s="7">
        <v>5.8999999999999997E-2</v>
      </c>
      <c r="L482" s="7">
        <v>1.71</v>
      </c>
      <c r="M482" s="7">
        <v>1.81</v>
      </c>
      <c r="N482" s="7">
        <v>1.66</v>
      </c>
      <c r="O482" s="7">
        <v>1.53</v>
      </c>
      <c r="P482">
        <f t="shared" si="7"/>
        <v>1.6775</v>
      </c>
      <c r="Q482">
        <v>0.30516418938319007</v>
      </c>
      <c r="R482">
        <v>0.82203291712911108</v>
      </c>
      <c r="S482">
        <v>0.84516628013500406</v>
      </c>
      <c r="T482">
        <v>0.95605104343812974</v>
      </c>
      <c r="U482">
        <v>8.5110791412135442E-2</v>
      </c>
      <c r="V482">
        <v>1.9518920180242549E-2</v>
      </c>
      <c r="W482">
        <v>430</v>
      </c>
      <c r="X482">
        <v>653</v>
      </c>
      <c r="Y482">
        <v>0.73031239703136519</v>
      </c>
      <c r="Z482">
        <v>0.13649132715997767</v>
      </c>
      <c r="AB482">
        <v>31.427087133090144</v>
      </c>
      <c r="AC482">
        <v>28.128996990231578</v>
      </c>
      <c r="AD482">
        <v>330.49859510789167</v>
      </c>
      <c r="AE482" t="s">
        <v>227</v>
      </c>
    </row>
    <row r="483" spans="1:31" x14ac:dyDescent="0.3">
      <c r="A483">
        <v>481</v>
      </c>
      <c r="B483" t="s">
        <v>224</v>
      </c>
      <c r="C483" t="s">
        <v>198</v>
      </c>
      <c r="D483">
        <v>3</v>
      </c>
      <c r="E483" s="7" t="s">
        <v>21</v>
      </c>
      <c r="F483">
        <v>5</v>
      </c>
      <c r="G483" t="s">
        <v>24</v>
      </c>
      <c r="H483" s="13"/>
      <c r="I483" s="13"/>
      <c r="J483" s="7">
        <v>0.34899999999999998</v>
      </c>
      <c r="K483" s="7">
        <v>9.8000000000000004E-2</v>
      </c>
      <c r="L483" s="7">
        <v>2.41</v>
      </c>
      <c r="M483" s="7">
        <v>3</v>
      </c>
      <c r="N483" s="7">
        <v>2.83</v>
      </c>
      <c r="O483" s="7">
        <v>3.58</v>
      </c>
      <c r="P483">
        <f t="shared" si="7"/>
        <v>2.9550000000000001</v>
      </c>
      <c r="Q483">
        <v>8.5943861969100907E-2</v>
      </c>
      <c r="R483">
        <v>0.4854621001839543</v>
      </c>
      <c r="S483">
        <v>0.84875579972068416</v>
      </c>
      <c r="T483">
        <v>0.95536433058335835</v>
      </c>
      <c r="U483">
        <v>0.31384466961479646</v>
      </c>
      <c r="V483">
        <v>1.9830977538746828E-2</v>
      </c>
      <c r="W483">
        <v>345</v>
      </c>
      <c r="X483">
        <v>552</v>
      </c>
      <c r="Y483">
        <v>0.69255619868084528</v>
      </c>
      <c r="Z483">
        <v>0.15954497925024408</v>
      </c>
      <c r="AB483">
        <v>37.920795583397485</v>
      </c>
      <c r="AC483">
        <v>33.941182919580115</v>
      </c>
      <c r="AD483">
        <v>108.14643741197996</v>
      </c>
      <c r="AE483" t="s">
        <v>227</v>
      </c>
    </row>
    <row r="484" spans="1:31" x14ac:dyDescent="0.3">
      <c r="A484">
        <v>482</v>
      </c>
      <c r="B484" t="s">
        <v>224</v>
      </c>
      <c r="C484" t="s">
        <v>198</v>
      </c>
      <c r="D484">
        <v>3</v>
      </c>
      <c r="E484" s="7" t="s">
        <v>21</v>
      </c>
      <c r="F484">
        <v>11</v>
      </c>
      <c r="G484" t="s">
        <v>22</v>
      </c>
      <c r="H484" s="13"/>
      <c r="I484" s="13"/>
      <c r="J484" s="7">
        <v>2.2200000000000002</v>
      </c>
      <c r="K484" s="7">
        <v>0.66600000000000004</v>
      </c>
      <c r="L484" s="7">
        <v>4.7300000000000004</v>
      </c>
      <c r="M484" s="7">
        <v>4.5</v>
      </c>
      <c r="N484" s="7">
        <v>6.02</v>
      </c>
      <c r="O484" s="7">
        <v>6.22</v>
      </c>
      <c r="P484">
        <f t="shared" si="7"/>
        <v>5.3674999999999997</v>
      </c>
      <c r="Q484">
        <v>6.9777686433534603E-2</v>
      </c>
      <c r="R484">
        <v>0.23935027367661574</v>
      </c>
      <c r="S484">
        <v>0.83405341895730922</v>
      </c>
      <c r="T484">
        <v>0.99482202016982035</v>
      </c>
      <c r="U484">
        <v>0.62096607160306427</v>
      </c>
      <c r="V484">
        <v>2.2546102814716613E-3</v>
      </c>
      <c r="W484">
        <v>383</v>
      </c>
      <c r="X484">
        <v>670</v>
      </c>
      <c r="Y484">
        <v>0.6335944399206358</v>
      </c>
      <c r="Z484">
        <v>0.1981886425334333</v>
      </c>
      <c r="AB484">
        <v>50.152279608562054</v>
      </c>
      <c r="AC484">
        <v>44.888905665618779</v>
      </c>
      <c r="AD484">
        <v>72.288821754359546</v>
      </c>
      <c r="AE484" t="s">
        <v>227</v>
      </c>
    </row>
    <row r="485" spans="1:31" x14ac:dyDescent="0.3">
      <c r="A485">
        <v>483</v>
      </c>
      <c r="B485" t="s">
        <v>224</v>
      </c>
      <c r="C485" t="s">
        <v>198</v>
      </c>
      <c r="D485">
        <v>3</v>
      </c>
      <c r="E485" s="7" t="s">
        <v>21</v>
      </c>
      <c r="F485">
        <v>15</v>
      </c>
      <c r="G485" t="s">
        <v>23</v>
      </c>
      <c r="H485" s="13"/>
      <c r="I485" s="13"/>
      <c r="J485" s="7">
        <v>0.18099999999999999</v>
      </c>
      <c r="K485" s="7">
        <v>0.02</v>
      </c>
      <c r="L485" s="7">
        <v>1.59</v>
      </c>
      <c r="M485" s="7">
        <v>1.41</v>
      </c>
      <c r="N485" s="7">
        <v>1.78</v>
      </c>
      <c r="O485" s="7">
        <v>1.45</v>
      </c>
      <c r="P485">
        <f t="shared" si="7"/>
        <v>1.5575000000000001</v>
      </c>
      <c r="Q485">
        <v>0.12844620278000576</v>
      </c>
      <c r="R485">
        <v>0.56067258019527144</v>
      </c>
      <c r="S485">
        <v>0.91494806517691329</v>
      </c>
      <c r="T485">
        <v>0.91519074606447748</v>
      </c>
      <c r="U485">
        <v>0.25129068264070986</v>
      </c>
      <c r="V485">
        <v>3.8488379890050099E-2</v>
      </c>
      <c r="W485">
        <v>440</v>
      </c>
      <c r="X485">
        <v>643</v>
      </c>
      <c r="Y485">
        <v>0.75901713794010084</v>
      </c>
      <c r="Z485">
        <v>0.11974841800598324</v>
      </c>
      <c r="AB485">
        <v>27.087255316420006</v>
      </c>
      <c r="AC485">
        <v>24.244621131401559</v>
      </c>
      <c r="AD485">
        <v>96.480382307154656</v>
      </c>
      <c r="AE485" t="s">
        <v>227</v>
      </c>
    </row>
    <row r="486" spans="1:31" x14ac:dyDescent="0.3">
      <c r="A486">
        <v>484</v>
      </c>
      <c r="B486" t="s">
        <v>224</v>
      </c>
      <c r="C486" t="s">
        <v>198</v>
      </c>
      <c r="D486">
        <v>4</v>
      </c>
      <c r="E486" s="7" t="s">
        <v>21</v>
      </c>
      <c r="F486">
        <v>1</v>
      </c>
      <c r="G486" t="s">
        <v>29</v>
      </c>
      <c r="H486" s="13"/>
      <c r="I486" s="13"/>
      <c r="J486" s="7">
        <v>1.9</v>
      </c>
      <c r="K486" s="7">
        <v>0.38300000000000001</v>
      </c>
      <c r="L486" s="7">
        <v>3.11</v>
      </c>
      <c r="M486" s="7">
        <v>3.16</v>
      </c>
      <c r="N486" s="7">
        <v>3.65</v>
      </c>
      <c r="O486" s="7">
        <v>2.5</v>
      </c>
      <c r="P486">
        <f t="shared" si="7"/>
        <v>3.105</v>
      </c>
      <c r="Q486">
        <v>0.16158606473643719</v>
      </c>
      <c r="R486">
        <v>0.5209670639104883</v>
      </c>
      <c r="S486">
        <v>0.82081506991480802</v>
      </c>
      <c r="T486">
        <v>0.97968974801122166</v>
      </c>
      <c r="U486">
        <v>0.2831897323896822</v>
      </c>
      <c r="V486">
        <v>8.9114366132039442E-3</v>
      </c>
      <c r="W486">
        <v>442</v>
      </c>
      <c r="X486">
        <v>730</v>
      </c>
      <c r="Y486">
        <v>0.67148705966551936</v>
      </c>
      <c r="Z486">
        <v>0.17296235227301673</v>
      </c>
      <c r="AB486">
        <v>41.976518541598722</v>
      </c>
      <c r="AC486">
        <v>37.57124213497876</v>
      </c>
      <c r="AD486">
        <v>132.67162554918829</v>
      </c>
      <c r="AE486" t="s">
        <v>227</v>
      </c>
    </row>
    <row r="487" spans="1:31" x14ac:dyDescent="0.3">
      <c r="A487">
        <v>485</v>
      </c>
      <c r="B487" t="s">
        <v>224</v>
      </c>
      <c r="C487" t="s">
        <v>198</v>
      </c>
      <c r="D487">
        <v>4</v>
      </c>
      <c r="E487" s="7" t="s">
        <v>21</v>
      </c>
      <c r="F487">
        <v>3</v>
      </c>
      <c r="G487" t="s">
        <v>22</v>
      </c>
      <c r="H487" s="13"/>
      <c r="I487" s="13"/>
      <c r="J487" s="7">
        <v>0.56999999999999995</v>
      </c>
      <c r="K487" s="7">
        <v>0.154</v>
      </c>
      <c r="L487" s="7">
        <v>3.11</v>
      </c>
      <c r="M487" s="7">
        <v>4.12</v>
      </c>
      <c r="N487" s="7">
        <v>3.04</v>
      </c>
      <c r="O487" s="7">
        <v>3.85</v>
      </c>
      <c r="P487">
        <f t="shared" si="7"/>
        <v>3.53</v>
      </c>
      <c r="Q487">
        <v>0.11532003733120127</v>
      </c>
      <c r="R487">
        <v>0.33447112722950217</v>
      </c>
      <c r="S487">
        <v>0.83817470981016007</v>
      </c>
      <c r="T487">
        <v>0.99696658011431638</v>
      </c>
      <c r="U487">
        <v>0.47564136616553732</v>
      </c>
      <c r="V487">
        <v>1.319399677514521E-3</v>
      </c>
      <c r="W487">
        <v>393</v>
      </c>
      <c r="X487">
        <v>693</v>
      </c>
      <c r="Y487">
        <v>0.62861271676300567</v>
      </c>
      <c r="Z487">
        <v>0.20161683750212056</v>
      </c>
      <c r="AB487">
        <v>51.318821008000455</v>
      </c>
      <c r="AC487">
        <v>45.933009336616863</v>
      </c>
      <c r="AD487">
        <v>96.570678254739548</v>
      </c>
      <c r="AE487" t="s">
        <v>227</v>
      </c>
    </row>
    <row r="488" spans="1:31" x14ac:dyDescent="0.3">
      <c r="A488">
        <v>486</v>
      </c>
      <c r="B488" t="s">
        <v>224</v>
      </c>
      <c r="C488" t="s">
        <v>198</v>
      </c>
      <c r="D488">
        <v>4</v>
      </c>
      <c r="E488" s="7" t="s">
        <v>21</v>
      </c>
      <c r="F488">
        <v>4</v>
      </c>
      <c r="G488" t="s">
        <v>28</v>
      </c>
      <c r="H488" s="13"/>
      <c r="I488" s="13"/>
      <c r="J488" s="7">
        <v>1.54</v>
      </c>
      <c r="K488" s="7">
        <v>0.32200000000000001</v>
      </c>
      <c r="L488" s="7">
        <v>3.76</v>
      </c>
      <c r="M488" s="7">
        <v>3.17</v>
      </c>
      <c r="N488" s="7">
        <v>3.27</v>
      </c>
      <c r="O488" s="7">
        <v>4.21</v>
      </c>
      <c r="P488">
        <f t="shared" si="7"/>
        <v>3.6025</v>
      </c>
      <c r="Q488">
        <v>0.11532949269964082</v>
      </c>
      <c r="R488">
        <v>0.55679456210500888</v>
      </c>
      <c r="S488">
        <v>0.85463789311027194</v>
      </c>
      <c r="T488">
        <v>0.99378057337788872</v>
      </c>
      <c r="U488">
        <v>0.25430501488334234</v>
      </c>
      <c r="V488">
        <v>2.70949718320814E-3</v>
      </c>
      <c r="W488">
        <v>350</v>
      </c>
      <c r="X488">
        <v>634</v>
      </c>
      <c r="Y488">
        <v>0.6116289499521218</v>
      </c>
      <c r="Z488">
        <v>0.21351196651200366</v>
      </c>
      <c r="AB488">
        <v>55.469412061782663</v>
      </c>
      <c r="AC488">
        <v>49.647959784984721</v>
      </c>
      <c r="AD488">
        <v>195.22996747728232</v>
      </c>
      <c r="AE488" t="s">
        <v>227</v>
      </c>
    </row>
    <row r="489" spans="1:31" x14ac:dyDescent="0.3">
      <c r="A489">
        <v>487</v>
      </c>
      <c r="B489" t="s">
        <v>224</v>
      </c>
      <c r="C489" t="s">
        <v>198</v>
      </c>
      <c r="D489">
        <v>4</v>
      </c>
      <c r="E489" s="7" t="s">
        <v>21</v>
      </c>
      <c r="F489">
        <v>8</v>
      </c>
      <c r="G489" t="s">
        <v>27</v>
      </c>
      <c r="H489" s="13"/>
      <c r="I489" s="13"/>
      <c r="J489" s="7">
        <v>0.22</v>
      </c>
      <c r="K489" s="7">
        <v>2.3E-2</v>
      </c>
      <c r="L489" s="7">
        <v>0.96</v>
      </c>
      <c r="M489" s="7">
        <v>0.8</v>
      </c>
      <c r="N489" s="7">
        <v>1.05</v>
      </c>
      <c r="O489" s="7">
        <v>0.96</v>
      </c>
      <c r="P489">
        <f t="shared" si="7"/>
        <v>0.9425</v>
      </c>
      <c r="Q489">
        <v>0.32419183528389389</v>
      </c>
      <c r="R489">
        <v>0.63614906918265435</v>
      </c>
      <c r="S489">
        <v>0.89270796361071436</v>
      </c>
      <c r="T489">
        <v>0.90848021624947717</v>
      </c>
      <c r="U489">
        <v>0.19644110394657979</v>
      </c>
      <c r="V489">
        <v>4.1684525777229677E-2</v>
      </c>
      <c r="W489">
        <v>531</v>
      </c>
      <c r="X489">
        <v>725</v>
      </c>
      <c r="Y489">
        <v>0.81288592785180369</v>
      </c>
      <c r="Z489">
        <v>8.9970394603190632E-2</v>
      </c>
      <c r="AB489">
        <v>20.150974948469479</v>
      </c>
      <c r="AC489">
        <v>18.03625535367631</v>
      </c>
      <c r="AD489">
        <v>91.815078368634559</v>
      </c>
      <c r="AE489" t="s">
        <v>227</v>
      </c>
    </row>
    <row r="490" spans="1:31" x14ac:dyDescent="0.3">
      <c r="A490">
        <v>488</v>
      </c>
      <c r="B490" t="s">
        <v>224</v>
      </c>
      <c r="C490" t="s">
        <v>198</v>
      </c>
      <c r="D490">
        <v>4</v>
      </c>
      <c r="E490" s="7" t="s">
        <v>21</v>
      </c>
      <c r="F490">
        <v>6</v>
      </c>
      <c r="G490" t="s">
        <v>24</v>
      </c>
      <c r="H490" s="13"/>
      <c r="I490" s="13"/>
      <c r="J490" s="7">
        <v>1.2809999999999999</v>
      </c>
      <c r="K490" s="7">
        <v>0.155</v>
      </c>
      <c r="L490" s="7">
        <v>2.61</v>
      </c>
      <c r="M490" s="7">
        <v>3.21</v>
      </c>
      <c r="N490" s="7">
        <v>2.31</v>
      </c>
      <c r="O490" s="7">
        <v>2.99</v>
      </c>
      <c r="P490">
        <f t="shared" si="7"/>
        <v>2.7800000000000002</v>
      </c>
      <c r="Q490">
        <v>0.20566641694139931</v>
      </c>
      <c r="R490">
        <v>0.48219804589320203</v>
      </c>
      <c r="S490">
        <v>0.86081769451230428</v>
      </c>
      <c r="T490">
        <v>0.96201598701746072</v>
      </c>
      <c r="U490">
        <v>0.31677455393268172</v>
      </c>
      <c r="V490">
        <v>1.6817710690072551E-2</v>
      </c>
      <c r="W490">
        <v>332</v>
      </c>
      <c r="X490">
        <v>577</v>
      </c>
      <c r="Y490">
        <v>0.63738810741687968</v>
      </c>
      <c r="Z490">
        <v>0.19559604398655411</v>
      </c>
      <c r="AB490">
        <v>49.278888790025562</v>
      </c>
      <c r="AC490">
        <v>44.10718382449663</v>
      </c>
      <c r="AD490">
        <v>139.23840560081703</v>
      </c>
      <c r="AE490" t="s">
        <v>227</v>
      </c>
    </row>
    <row r="491" spans="1:31" x14ac:dyDescent="0.3">
      <c r="A491">
        <v>489</v>
      </c>
      <c r="B491" t="s">
        <v>224</v>
      </c>
      <c r="C491" t="s">
        <v>198</v>
      </c>
      <c r="D491">
        <v>4</v>
      </c>
      <c r="E491" s="7" t="s">
        <v>21</v>
      </c>
      <c r="F491">
        <v>10</v>
      </c>
      <c r="G491" t="s">
        <v>192</v>
      </c>
      <c r="H491" s="13"/>
      <c r="I491" s="13"/>
      <c r="J491" s="7">
        <v>0.68</v>
      </c>
      <c r="K491" s="7">
        <v>9.9000000000000005E-2</v>
      </c>
      <c r="L491" s="7">
        <v>1.43</v>
      </c>
      <c r="M491" s="7">
        <v>2.16</v>
      </c>
      <c r="N491" s="7">
        <v>1.81</v>
      </c>
      <c r="O491" s="7">
        <v>1.91</v>
      </c>
      <c r="P491">
        <f t="shared" si="7"/>
        <v>1.8275000000000001</v>
      </c>
      <c r="Q491">
        <v>0.19337156735981115</v>
      </c>
      <c r="R491">
        <v>0.83232221803829687</v>
      </c>
      <c r="S491">
        <v>0.90390691683795132</v>
      </c>
      <c r="T491">
        <v>0.96454107200920203</v>
      </c>
      <c r="U491">
        <v>7.9708512140279728E-2</v>
      </c>
      <c r="V491">
        <v>1.5679274534168737E-2</v>
      </c>
      <c r="W491">
        <v>394</v>
      </c>
      <c r="X491">
        <v>591</v>
      </c>
      <c r="Y491">
        <v>0.73917378299882952</v>
      </c>
      <c r="Z491">
        <v>0.13125344506291647</v>
      </c>
      <c r="AB491">
        <v>30.035375127553209</v>
      </c>
      <c r="AC491">
        <v>26.883343584629571</v>
      </c>
      <c r="AD491">
        <v>337.27067364295215</v>
      </c>
      <c r="AE491" t="s">
        <v>227</v>
      </c>
    </row>
    <row r="492" spans="1:31" x14ac:dyDescent="0.3">
      <c r="A492">
        <v>490</v>
      </c>
      <c r="B492" t="s">
        <v>224</v>
      </c>
      <c r="C492" t="s">
        <v>198</v>
      </c>
      <c r="D492">
        <v>4</v>
      </c>
      <c r="E492" s="7" t="s">
        <v>21</v>
      </c>
      <c r="F492">
        <v>12</v>
      </c>
      <c r="G492" t="s">
        <v>25</v>
      </c>
      <c r="H492" s="13"/>
      <c r="I492" s="13"/>
      <c r="J492" s="7">
        <v>0.89</v>
      </c>
      <c r="K492" s="7">
        <v>9.5000000000000001E-2</v>
      </c>
      <c r="L492" s="7">
        <v>1.24</v>
      </c>
      <c r="M492" s="7">
        <v>1.24</v>
      </c>
      <c r="N492" s="7">
        <v>1.1100000000000001</v>
      </c>
      <c r="O492" s="7">
        <v>1.1299999999999999</v>
      </c>
      <c r="P492">
        <f t="shared" si="7"/>
        <v>1.18</v>
      </c>
      <c r="Q492">
        <v>0.39943085150515895</v>
      </c>
      <c r="R492">
        <v>0.56131430969575213</v>
      </c>
      <c r="S492">
        <v>0.88018435061298084</v>
      </c>
      <c r="T492">
        <v>0.99461923046937772</v>
      </c>
      <c r="U492">
        <v>0.25079388608482273</v>
      </c>
      <c r="V492">
        <v>2.3431481542696263E-3</v>
      </c>
      <c r="W492">
        <v>436</v>
      </c>
      <c r="X492">
        <v>649</v>
      </c>
      <c r="Y492">
        <v>0.7451217201856587</v>
      </c>
      <c r="Z492">
        <v>0.12777277679931218</v>
      </c>
      <c r="AB492">
        <v>29.127694303842603</v>
      </c>
      <c r="AC492">
        <v>26.070922130373251</v>
      </c>
      <c r="AD492">
        <v>103.95357932113076</v>
      </c>
      <c r="AE492" t="s">
        <v>227</v>
      </c>
    </row>
    <row r="493" spans="1:31" x14ac:dyDescent="0.3">
      <c r="A493">
        <v>491</v>
      </c>
      <c r="B493" t="s">
        <v>228</v>
      </c>
      <c r="C493" t="s">
        <v>189</v>
      </c>
      <c r="D493">
        <v>1</v>
      </c>
      <c r="E493" s="7" t="s">
        <v>21</v>
      </c>
      <c r="F493">
        <v>3</v>
      </c>
      <c r="G493" t="s">
        <v>25</v>
      </c>
      <c r="H493" s="13"/>
      <c r="I493" s="13"/>
      <c r="J493" s="7">
        <v>2.6880000000000002</v>
      </c>
      <c r="K493" s="7">
        <v>0.42799999999999999</v>
      </c>
      <c r="L493" s="7">
        <v>1.71</v>
      </c>
      <c r="M493" s="7">
        <v>1.62</v>
      </c>
      <c r="N493" s="7">
        <v>1.24</v>
      </c>
      <c r="O493" s="7">
        <v>1.27</v>
      </c>
      <c r="P493">
        <f t="shared" si="7"/>
        <v>1.46</v>
      </c>
      <c r="Q493">
        <v>8.8316722804611433E-2</v>
      </c>
      <c r="R493">
        <v>0.18947836661019821</v>
      </c>
      <c r="S493">
        <v>0.76292242240518104</v>
      </c>
      <c r="T493">
        <v>0.96345853433017925</v>
      </c>
      <c r="U493">
        <v>0.72244036774414044</v>
      </c>
      <c r="V493">
        <v>1.6166971926130761E-2</v>
      </c>
      <c r="W493">
        <v>528</v>
      </c>
      <c r="X493">
        <v>749</v>
      </c>
      <c r="Y493">
        <v>0.78234199980852603</v>
      </c>
      <c r="Z493">
        <v>0.10660335415195178</v>
      </c>
      <c r="AB493">
        <v>23.901866787415159</v>
      </c>
      <c r="AC493">
        <v>21.393522869483888</v>
      </c>
      <c r="AD493">
        <v>29.612856402648614</v>
      </c>
      <c r="AE493" t="s">
        <v>226</v>
      </c>
    </row>
    <row r="494" spans="1:31" x14ac:dyDescent="0.3">
      <c r="A494">
        <v>492</v>
      </c>
      <c r="B494" t="s">
        <v>228</v>
      </c>
      <c r="C494" t="s">
        <v>189</v>
      </c>
      <c r="D494">
        <v>1</v>
      </c>
      <c r="E494" s="7" t="s">
        <v>21</v>
      </c>
      <c r="F494">
        <v>5</v>
      </c>
      <c r="G494" t="s">
        <v>27</v>
      </c>
      <c r="H494" s="13"/>
      <c r="I494" s="13"/>
      <c r="J494" s="7">
        <v>0.85399999999999998</v>
      </c>
      <c r="K494" s="7">
        <v>0.19800000000000001</v>
      </c>
      <c r="L494" s="7">
        <v>1.24</v>
      </c>
      <c r="M494" s="7">
        <v>1.48</v>
      </c>
      <c r="N494" s="7">
        <v>1.52</v>
      </c>
      <c r="O494" s="7">
        <v>1.7</v>
      </c>
      <c r="P494">
        <f t="shared" si="7"/>
        <v>1.4850000000000001</v>
      </c>
      <c r="Q494">
        <v>2.7625136043148597E-2</v>
      </c>
      <c r="R494">
        <v>8.8754738890339718E-2</v>
      </c>
      <c r="S494">
        <v>0.81525558931997888</v>
      </c>
      <c r="T494">
        <v>0.80985105513615629</v>
      </c>
      <c r="U494">
        <v>1.0518084493266098</v>
      </c>
      <c r="V494">
        <v>9.1594847640500049E-2</v>
      </c>
      <c r="W494">
        <v>637</v>
      </c>
      <c r="X494">
        <v>783</v>
      </c>
      <c r="Y494">
        <v>0.90339872188172499</v>
      </c>
      <c r="Z494">
        <v>4.4120528209101818E-2</v>
      </c>
      <c r="AB494">
        <v>11.429216786489759</v>
      </c>
      <c r="AC494">
        <v>10.229693325756731</v>
      </c>
      <c r="AD494">
        <v>9.7258139847669032</v>
      </c>
      <c r="AE494" s="7" t="s">
        <v>226</v>
      </c>
    </row>
    <row r="495" spans="1:31" x14ac:dyDescent="0.3">
      <c r="A495">
        <v>493</v>
      </c>
      <c r="B495" t="s">
        <v>228</v>
      </c>
      <c r="C495" t="s">
        <v>189</v>
      </c>
      <c r="D495">
        <v>1</v>
      </c>
      <c r="E495" s="7" t="s">
        <v>21</v>
      </c>
      <c r="F495">
        <v>6</v>
      </c>
      <c r="G495" t="s">
        <v>26</v>
      </c>
      <c r="H495" s="13"/>
      <c r="I495" s="13"/>
      <c r="J495" s="7">
        <v>1.3220000000000001</v>
      </c>
      <c r="K495" s="7">
        <v>0.32500000000000001</v>
      </c>
      <c r="L495" s="7">
        <v>1.75</v>
      </c>
      <c r="M495" s="7">
        <v>1.28</v>
      </c>
      <c r="N495" s="7">
        <v>1.8</v>
      </c>
      <c r="O495" s="7">
        <v>1.53</v>
      </c>
      <c r="P495">
        <f t="shared" si="7"/>
        <v>1.59</v>
      </c>
      <c r="Q495">
        <v>2.2756678848695082E-2</v>
      </c>
      <c r="R495">
        <v>6.1748020556122454E-2</v>
      </c>
      <c r="S495">
        <v>0.71963331307332246</v>
      </c>
      <c r="T495">
        <v>1.0413715886532633</v>
      </c>
      <c r="U495">
        <v>1.2093769599360231</v>
      </c>
      <c r="V495">
        <v>-1.7605724809398631E-2</v>
      </c>
      <c r="W495">
        <v>343</v>
      </c>
      <c r="X495">
        <v>634</v>
      </c>
      <c r="Y495">
        <v>0.59932606877492389</v>
      </c>
      <c r="Z495">
        <v>0.2223368314660869</v>
      </c>
      <c r="AB495">
        <v>58.651949459616503</v>
      </c>
      <c r="AC495">
        <v>52.496458984212936</v>
      </c>
      <c r="AD495">
        <v>43.407854393877351</v>
      </c>
      <c r="AE495" t="s">
        <v>226</v>
      </c>
    </row>
    <row r="496" spans="1:31" x14ac:dyDescent="0.3">
      <c r="A496">
        <v>494</v>
      </c>
      <c r="B496" t="s">
        <v>228</v>
      </c>
      <c r="C496" t="s">
        <v>189</v>
      </c>
      <c r="D496">
        <v>1</v>
      </c>
      <c r="E496" s="7" t="s">
        <v>21</v>
      </c>
      <c r="F496">
        <v>7</v>
      </c>
      <c r="G496" t="s">
        <v>28</v>
      </c>
      <c r="H496" s="13"/>
      <c r="I496" s="13"/>
      <c r="J496" s="7">
        <v>2.02</v>
      </c>
      <c r="K496" s="7">
        <v>0.77800000000000002</v>
      </c>
      <c r="L496">
        <v>6.24</v>
      </c>
      <c r="M496" s="7">
        <v>7.29</v>
      </c>
      <c r="N496" s="7">
        <v>5.69</v>
      </c>
      <c r="O496" s="7">
        <v>5.67</v>
      </c>
      <c r="P496">
        <f t="shared" si="7"/>
        <v>6.2225000000000001</v>
      </c>
      <c r="Q496">
        <v>3.3790746116546984E-2</v>
      </c>
      <c r="R496">
        <v>4.1027005186417567E-2</v>
      </c>
      <c r="S496">
        <v>0.76447426053872836</v>
      </c>
      <c r="T496">
        <v>0.87986256911676175</v>
      </c>
      <c r="U496">
        <v>1.3869301837029036</v>
      </c>
      <c r="V496">
        <v>5.5585157549038797E-2</v>
      </c>
      <c r="W496">
        <v>375</v>
      </c>
      <c r="X496">
        <v>550</v>
      </c>
      <c r="Y496">
        <v>0.75587326876580996</v>
      </c>
      <c r="Z496">
        <v>0.12155101308263379</v>
      </c>
      <c r="AB496">
        <v>27.539286807682601</v>
      </c>
      <c r="AC496">
        <v>24.649213537864377</v>
      </c>
      <c r="AD496">
        <v>17.772497727358225</v>
      </c>
      <c r="AE496" s="7" t="s">
        <v>226</v>
      </c>
    </row>
    <row r="497" spans="1:31" x14ac:dyDescent="0.3">
      <c r="A497">
        <v>495</v>
      </c>
      <c r="B497" t="s">
        <v>228</v>
      </c>
      <c r="C497" t="s">
        <v>189</v>
      </c>
      <c r="D497">
        <v>1</v>
      </c>
      <c r="E497" s="7" t="s">
        <v>21</v>
      </c>
      <c r="F497">
        <v>8</v>
      </c>
      <c r="G497" t="s">
        <v>22</v>
      </c>
      <c r="H497" s="13"/>
      <c r="I497" s="13"/>
      <c r="J497" s="7">
        <v>0.65300000000000002</v>
      </c>
      <c r="K497" s="7">
        <v>0.23200000000000001</v>
      </c>
      <c r="L497" s="7">
        <v>5.24</v>
      </c>
      <c r="M497" s="7">
        <v>3.97</v>
      </c>
      <c r="N497" s="7">
        <v>4.8099999999999996</v>
      </c>
      <c r="O497" s="7">
        <v>5.47</v>
      </c>
      <c r="P497">
        <f t="shared" si="7"/>
        <v>4.8724999999999996</v>
      </c>
      <c r="Q497">
        <v>3.7499719096043813E-2</v>
      </c>
      <c r="R497">
        <v>5.0138576576142874E-2</v>
      </c>
      <c r="S497">
        <v>0.81848514605189315</v>
      </c>
      <c r="T497">
        <v>0.80156661280590813</v>
      </c>
      <c r="U497">
        <v>1.2998279997336368</v>
      </c>
      <c r="V497">
        <v>9.6060380518912358E-2</v>
      </c>
      <c r="W497">
        <v>602</v>
      </c>
      <c r="X497">
        <v>721</v>
      </c>
      <c r="Y497">
        <v>0.92710997442455245</v>
      </c>
      <c r="Z497">
        <v>3.2868746488854295E-2</v>
      </c>
      <c r="AB497">
        <v>9.6516845427815667</v>
      </c>
      <c r="AC497">
        <v>8.6386611636094983</v>
      </c>
      <c r="AD497">
        <v>6.6460032907275028</v>
      </c>
      <c r="AE497" t="s">
        <v>226</v>
      </c>
    </row>
    <row r="498" spans="1:31" x14ac:dyDescent="0.3">
      <c r="A498">
        <v>496</v>
      </c>
      <c r="B498" t="s">
        <v>228</v>
      </c>
      <c r="C498" t="s">
        <v>189</v>
      </c>
      <c r="D498">
        <v>1</v>
      </c>
      <c r="E498" s="7" t="s">
        <v>21</v>
      </c>
      <c r="F498">
        <v>11</v>
      </c>
      <c r="G498" t="s">
        <v>29</v>
      </c>
      <c r="H498" s="13"/>
      <c r="I498" s="13"/>
      <c r="J498" s="7">
        <v>0.98299999999999998</v>
      </c>
      <c r="K498" s="7">
        <v>0.313</v>
      </c>
      <c r="L498" s="7">
        <v>4.0999999999999996</v>
      </c>
      <c r="M498" s="7">
        <v>4.4800000000000004</v>
      </c>
      <c r="N498" s="7">
        <v>3.64</v>
      </c>
      <c r="O498" s="7">
        <v>3.67</v>
      </c>
      <c r="P498">
        <f t="shared" si="7"/>
        <v>3.9725000000000001</v>
      </c>
      <c r="Q498">
        <v>3.8447980465264875E-2</v>
      </c>
      <c r="R498">
        <v>5.5326319697644531E-2</v>
      </c>
      <c r="S498">
        <v>0.74434964956418392</v>
      </c>
      <c r="T498">
        <v>0.8288024834582628</v>
      </c>
      <c r="U498">
        <v>1.257068218059191</v>
      </c>
      <c r="V498">
        <v>8.1548956258828159E-2</v>
      </c>
      <c r="W498">
        <v>581</v>
      </c>
      <c r="X498">
        <v>718</v>
      </c>
      <c r="Y498">
        <v>0.89840447730847839</v>
      </c>
      <c r="Z498">
        <v>4.6528092381593417E-2</v>
      </c>
      <c r="AB498">
        <v>11.828129830185226</v>
      </c>
      <c r="AC498">
        <v>10.586750812739524</v>
      </c>
      <c r="AD498">
        <v>8.4217790734416855</v>
      </c>
      <c r="AE498" s="7" t="s">
        <v>226</v>
      </c>
    </row>
    <row r="499" spans="1:31" x14ac:dyDescent="0.3">
      <c r="A499">
        <v>497</v>
      </c>
      <c r="B499" t="s">
        <v>228</v>
      </c>
      <c r="C499" t="s">
        <v>189</v>
      </c>
      <c r="D499">
        <v>1</v>
      </c>
      <c r="E499" s="7" t="s">
        <v>21</v>
      </c>
      <c r="F499">
        <v>13</v>
      </c>
      <c r="G499" t="s">
        <v>192</v>
      </c>
      <c r="H499" s="13"/>
      <c r="I499" s="13"/>
      <c r="J499" s="7">
        <v>3.41</v>
      </c>
      <c r="K499" s="7">
        <v>0.752</v>
      </c>
      <c r="L499" s="7">
        <v>1.99</v>
      </c>
      <c r="M499" s="7">
        <v>1.94</v>
      </c>
      <c r="N499" s="7">
        <v>1.94</v>
      </c>
      <c r="O499" s="7">
        <v>2.09</v>
      </c>
      <c r="P499">
        <f t="shared" si="7"/>
        <v>1.9899999999999998</v>
      </c>
      <c r="Q499">
        <v>4.520198589630408E-2</v>
      </c>
      <c r="R499">
        <v>0.21036071310558788</v>
      </c>
      <c r="S499">
        <v>0.8880694574106176</v>
      </c>
      <c r="T499">
        <v>0.89757884101299446</v>
      </c>
      <c r="U499">
        <v>0.67703536563336209</v>
      </c>
      <c r="V499">
        <v>4.6927393765731414E-2</v>
      </c>
      <c r="W499">
        <v>498</v>
      </c>
      <c r="X499">
        <v>687</v>
      </c>
      <c r="Y499">
        <v>0.80439629267856205</v>
      </c>
      <c r="Z499">
        <v>9.4529939657783738E-2</v>
      </c>
      <c r="AB499">
        <v>21.148108644488623</v>
      </c>
      <c r="AC499">
        <v>18.928749823840626</v>
      </c>
      <c r="AD499">
        <v>27.958288125957655</v>
      </c>
      <c r="AE499" t="s">
        <v>226</v>
      </c>
    </row>
    <row r="500" spans="1:31" x14ac:dyDescent="0.3">
      <c r="A500">
        <v>498</v>
      </c>
      <c r="B500" t="s">
        <v>228</v>
      </c>
      <c r="C500" t="s">
        <v>189</v>
      </c>
      <c r="D500">
        <v>1</v>
      </c>
      <c r="E500" s="7" t="s">
        <v>21</v>
      </c>
      <c r="F500">
        <v>14</v>
      </c>
      <c r="G500" t="s">
        <v>23</v>
      </c>
      <c r="H500" s="13"/>
      <c r="I500" s="13"/>
      <c r="J500" s="7">
        <v>2.7650000000000001</v>
      </c>
      <c r="K500" s="7">
        <v>0.65400000000000003</v>
      </c>
      <c r="L500" s="7">
        <v>1.57</v>
      </c>
      <c r="M500" s="7">
        <v>3.24</v>
      </c>
      <c r="N500" s="7">
        <v>1.92</v>
      </c>
      <c r="O500" s="7">
        <v>1.24</v>
      </c>
      <c r="P500">
        <f t="shared" si="7"/>
        <v>1.9925000000000002</v>
      </c>
      <c r="Q500">
        <v>3.6532126285472977E-2</v>
      </c>
      <c r="R500">
        <v>0.16013454606294886</v>
      </c>
      <c r="S500">
        <v>0.76924189416385169</v>
      </c>
      <c r="T500">
        <v>0.89682517398977957</v>
      </c>
      <c r="U500">
        <v>0.79551496698097302</v>
      </c>
      <c r="V500">
        <v>4.7292209543989785E-2</v>
      </c>
      <c r="W500">
        <v>507</v>
      </c>
      <c r="X500">
        <v>698</v>
      </c>
      <c r="Y500">
        <v>0.80606692180958206</v>
      </c>
      <c r="Z500">
        <v>9.3628900420577588E-2</v>
      </c>
      <c r="AB500">
        <v>20.949197457015565</v>
      </c>
      <c r="AC500">
        <v>18.750712472674316</v>
      </c>
      <c r="AD500">
        <v>23.570533869192172</v>
      </c>
      <c r="AE500" s="7" t="s">
        <v>226</v>
      </c>
    </row>
    <row r="501" spans="1:31" x14ac:dyDescent="0.3">
      <c r="A501">
        <v>499</v>
      </c>
      <c r="B501" t="s">
        <v>228</v>
      </c>
      <c r="C501" t="s">
        <v>189</v>
      </c>
      <c r="D501">
        <v>2</v>
      </c>
      <c r="E501" s="7" t="s">
        <v>21</v>
      </c>
      <c r="F501">
        <v>1</v>
      </c>
      <c r="G501" t="s">
        <v>23</v>
      </c>
      <c r="H501" s="13"/>
      <c r="I501" s="13"/>
      <c r="J501" s="7">
        <v>2.746</v>
      </c>
      <c r="K501" s="7">
        <v>0.61</v>
      </c>
      <c r="L501" s="7">
        <v>2.44</v>
      </c>
      <c r="M501" s="7">
        <v>2.4500000000000002</v>
      </c>
      <c r="N501" s="7">
        <v>2.27</v>
      </c>
      <c r="O501" s="7">
        <v>3.03</v>
      </c>
      <c r="P501">
        <f t="shared" si="7"/>
        <v>2.5474999999999999</v>
      </c>
      <c r="Q501">
        <v>3.6882641310213661E-2</v>
      </c>
      <c r="R501">
        <v>8.9156795962466881E-2</v>
      </c>
      <c r="S501">
        <v>0.77941238726192097</v>
      </c>
      <c r="T501">
        <v>0.92921622896208611</v>
      </c>
      <c r="U501">
        <v>1.0498455471996881</v>
      </c>
      <c r="V501">
        <v>3.1883213758659767E-2</v>
      </c>
      <c r="W501">
        <v>422</v>
      </c>
      <c r="X501">
        <v>677</v>
      </c>
      <c r="Y501">
        <v>0.6912180874407905</v>
      </c>
      <c r="Z501">
        <v>0.16038490598496499</v>
      </c>
      <c r="AB501">
        <v>38.168717816673208</v>
      </c>
      <c r="AC501">
        <v>34.163084975696535</v>
      </c>
      <c r="AD501">
        <v>32.54105812690414</v>
      </c>
      <c r="AE501" t="s">
        <v>226</v>
      </c>
    </row>
    <row r="502" spans="1:31" x14ac:dyDescent="0.3">
      <c r="A502">
        <v>500</v>
      </c>
      <c r="B502" t="s">
        <v>228</v>
      </c>
      <c r="C502" t="s">
        <v>189</v>
      </c>
      <c r="D502">
        <v>2</v>
      </c>
      <c r="E502" s="7" t="s">
        <v>21</v>
      </c>
      <c r="F502">
        <v>2</v>
      </c>
      <c r="G502" t="s">
        <v>25</v>
      </c>
      <c r="H502" s="14"/>
      <c r="I502" s="14"/>
      <c r="J502" s="7">
        <v>2.66</v>
      </c>
      <c r="K502" s="7">
        <v>0.61499999999999999</v>
      </c>
      <c r="L502" s="7">
        <v>1.05</v>
      </c>
      <c r="M502" s="7">
        <v>1.31</v>
      </c>
      <c r="N502">
        <v>1.23</v>
      </c>
      <c r="O502" s="7">
        <v>1.1200000000000001</v>
      </c>
      <c r="P502">
        <f t="shared" si="7"/>
        <v>1.1775000000000002</v>
      </c>
      <c r="Q502">
        <v>0.11552416939879981</v>
      </c>
      <c r="R502">
        <v>0.22805607237302847</v>
      </c>
      <c r="S502">
        <v>0.8279838836526765</v>
      </c>
      <c r="T502">
        <v>1.0086119487862155</v>
      </c>
      <c r="U502">
        <v>0.64195835945466695</v>
      </c>
      <c r="V502">
        <v>-3.7241088371742525E-3</v>
      </c>
      <c r="W502">
        <v>488</v>
      </c>
      <c r="X502">
        <v>759</v>
      </c>
      <c r="Y502">
        <v>0.71331205420105404</v>
      </c>
      <c r="Z502">
        <v>0.14672043681098965</v>
      </c>
      <c r="AB502">
        <v>34.234321068927166</v>
      </c>
      <c r="AC502">
        <v>30.641611222093008</v>
      </c>
      <c r="AD502">
        <v>47.73146228381939</v>
      </c>
      <c r="AE502" s="7" t="s">
        <v>226</v>
      </c>
    </row>
    <row r="503" spans="1:31" x14ac:dyDescent="0.3">
      <c r="A503">
        <v>501</v>
      </c>
      <c r="B503" t="s">
        <v>228</v>
      </c>
      <c r="C503" t="s">
        <v>189</v>
      </c>
      <c r="D503">
        <v>2</v>
      </c>
      <c r="E503" s="7" t="s">
        <v>21</v>
      </c>
      <c r="F503">
        <v>4</v>
      </c>
      <c r="G503" t="s">
        <v>26</v>
      </c>
      <c r="H503" s="13"/>
      <c r="I503" s="13"/>
      <c r="J503" s="7">
        <v>3.4380000000000002</v>
      </c>
      <c r="K503" s="7">
        <v>0.747</v>
      </c>
      <c r="L503" s="7">
        <v>2.12</v>
      </c>
      <c r="M503" s="7">
        <v>2.08</v>
      </c>
      <c r="N503" s="7">
        <v>2.29</v>
      </c>
      <c r="O503" s="7">
        <v>2.15</v>
      </c>
      <c r="P503">
        <f t="shared" si="7"/>
        <v>2.16</v>
      </c>
      <c r="Q503">
        <v>3.1485767936159259E-2</v>
      </c>
      <c r="R503">
        <v>0.10495849654125916</v>
      </c>
      <c r="S503">
        <v>0.72877499804617962</v>
      </c>
      <c r="T503">
        <v>1.0425197695308241</v>
      </c>
      <c r="U503">
        <v>0.97898239889554317</v>
      </c>
      <c r="V503">
        <v>-1.8084299345305008E-2</v>
      </c>
      <c r="W503">
        <v>387</v>
      </c>
      <c r="X503">
        <v>659</v>
      </c>
      <c r="Y503">
        <v>0.65094955651085595</v>
      </c>
      <c r="Z503">
        <v>0.1864526645466843</v>
      </c>
      <c r="AB503">
        <v>46.259278578554373</v>
      </c>
      <c r="AC503">
        <v>41.404502592960995</v>
      </c>
      <c r="AD503">
        <v>42.293408583925753</v>
      </c>
      <c r="AE503" t="s">
        <v>226</v>
      </c>
    </row>
    <row r="504" spans="1:31" x14ac:dyDescent="0.3">
      <c r="A504">
        <v>502</v>
      </c>
      <c r="B504" t="s">
        <v>228</v>
      </c>
      <c r="C504" t="s">
        <v>189</v>
      </c>
      <c r="D504">
        <v>2</v>
      </c>
      <c r="E504" s="7" t="s">
        <v>21</v>
      </c>
      <c r="F504">
        <v>7</v>
      </c>
      <c r="G504" t="s">
        <v>28</v>
      </c>
      <c r="H504" s="13"/>
      <c r="I504" s="13"/>
      <c r="J504" s="7">
        <v>7.7889999999999997</v>
      </c>
      <c r="K504" s="7">
        <v>2.3679999999999999</v>
      </c>
      <c r="L504" s="7">
        <v>9.39</v>
      </c>
      <c r="M504" s="7">
        <v>11.84</v>
      </c>
      <c r="N504" s="7">
        <v>8.82</v>
      </c>
      <c r="O504" s="7">
        <v>10.23</v>
      </c>
      <c r="P504">
        <f t="shared" si="7"/>
        <v>10.07</v>
      </c>
      <c r="Q504">
        <v>3.1138473401213517E-2</v>
      </c>
      <c r="R504">
        <v>0.40714962143582362</v>
      </c>
      <c r="S504">
        <v>0.89854973017158324</v>
      </c>
      <c r="T504">
        <v>0.85425615093598484</v>
      </c>
      <c r="U504">
        <v>0.39024596467418782</v>
      </c>
      <c r="V504">
        <v>6.8411885449375709E-2</v>
      </c>
      <c r="W504">
        <v>442</v>
      </c>
      <c r="X504">
        <v>606</v>
      </c>
      <c r="Y504">
        <v>0.8091141594977912</v>
      </c>
      <c r="Z504">
        <v>9.199019860751094E-2</v>
      </c>
      <c r="AB504">
        <v>20.589792004433306</v>
      </c>
      <c r="AC504">
        <v>18.429023085780177</v>
      </c>
      <c r="AD504">
        <v>47.224122102495976</v>
      </c>
      <c r="AE504" s="7" t="s">
        <v>226</v>
      </c>
    </row>
    <row r="505" spans="1:31" x14ac:dyDescent="0.3">
      <c r="A505">
        <v>503</v>
      </c>
      <c r="B505" t="s">
        <v>228</v>
      </c>
      <c r="C505" t="s">
        <v>189</v>
      </c>
      <c r="D505">
        <v>2</v>
      </c>
      <c r="E505" s="7" t="s">
        <v>21</v>
      </c>
      <c r="F505">
        <v>12</v>
      </c>
      <c r="G505" t="s">
        <v>24</v>
      </c>
      <c r="H505" s="13"/>
      <c r="I505" s="13"/>
      <c r="J505" s="7">
        <v>1.357</v>
      </c>
      <c r="K505" s="7">
        <v>0.35199999999999998</v>
      </c>
      <c r="L505" s="7">
        <v>3.94</v>
      </c>
      <c r="M505" s="7">
        <v>2.94</v>
      </c>
      <c r="N505" s="7">
        <v>3.34</v>
      </c>
      <c r="O505" s="7">
        <v>4.67</v>
      </c>
      <c r="P505">
        <f t="shared" si="7"/>
        <v>3.7224999999999997</v>
      </c>
      <c r="Q505">
        <v>3.6354908763644625E-2</v>
      </c>
      <c r="R505">
        <v>0.19421723661013054</v>
      </c>
      <c r="S505">
        <v>0.83797081476126578</v>
      </c>
      <c r="T505">
        <v>0.93579868386201159</v>
      </c>
      <c r="U505">
        <v>0.7117122294615924</v>
      </c>
      <c r="V505">
        <v>2.8817569949424925E-2</v>
      </c>
      <c r="W505">
        <v>441</v>
      </c>
      <c r="X505">
        <v>657</v>
      </c>
      <c r="Y505">
        <v>0.7445145343397167</v>
      </c>
      <c r="Z505">
        <v>0.12812681957476843</v>
      </c>
      <c r="AB505">
        <v>29.219395658800387</v>
      </c>
      <c r="AC505">
        <v>26.152999629439211</v>
      </c>
      <c r="AD505">
        <v>36.746593000409526</v>
      </c>
      <c r="AE505" t="s">
        <v>226</v>
      </c>
    </row>
    <row r="506" spans="1:31" x14ac:dyDescent="0.3">
      <c r="A506">
        <v>504</v>
      </c>
      <c r="B506" t="s">
        <v>228</v>
      </c>
      <c r="C506" t="s">
        <v>189</v>
      </c>
      <c r="D506">
        <v>2</v>
      </c>
      <c r="E506" s="7" t="s">
        <v>21</v>
      </c>
      <c r="F506">
        <v>11</v>
      </c>
      <c r="G506" t="s">
        <v>192</v>
      </c>
      <c r="H506" s="13"/>
      <c r="I506" s="13"/>
      <c r="J506" s="7">
        <v>9.3339999999999996</v>
      </c>
      <c r="K506" s="7">
        <v>1.7809999999999999</v>
      </c>
      <c r="L506" s="7">
        <v>1.88</v>
      </c>
      <c r="M506" s="7">
        <v>1.64</v>
      </c>
      <c r="N506" s="7">
        <v>1.67</v>
      </c>
      <c r="O506" s="7">
        <v>2.0699999999999998</v>
      </c>
      <c r="P506">
        <f t="shared" si="7"/>
        <v>1.8149999999999999</v>
      </c>
      <c r="Q506">
        <v>3.4554578850618634E-2</v>
      </c>
      <c r="R506">
        <v>0.32624689642435539</v>
      </c>
      <c r="S506">
        <v>0.98460993373754058</v>
      </c>
      <c r="T506">
        <v>0.87448301228068703</v>
      </c>
      <c r="U506">
        <v>0.48645361106266705</v>
      </c>
      <c r="V506">
        <v>5.8248622714082987E-2</v>
      </c>
      <c r="W506">
        <v>546</v>
      </c>
      <c r="X506">
        <v>724</v>
      </c>
      <c r="Y506">
        <v>0.83709182753021827</v>
      </c>
      <c r="Z506">
        <v>7.7226898037580413E-2</v>
      </c>
      <c r="AB506">
        <v>17.488602172900197</v>
      </c>
      <c r="AC506">
        <v>15.653265789005733</v>
      </c>
      <c r="AD506">
        <v>32.178331978687297</v>
      </c>
      <c r="AE506" s="7" t="s">
        <v>226</v>
      </c>
    </row>
    <row r="507" spans="1:31" x14ac:dyDescent="0.3">
      <c r="A507">
        <v>505</v>
      </c>
      <c r="B507" t="s">
        <v>228</v>
      </c>
      <c r="C507" t="s">
        <v>189</v>
      </c>
      <c r="D507">
        <v>2</v>
      </c>
      <c r="E507" s="7" t="s">
        <v>21</v>
      </c>
      <c r="F507">
        <v>14</v>
      </c>
      <c r="G507" t="s">
        <v>27</v>
      </c>
      <c r="H507" s="13"/>
      <c r="I507" s="13"/>
      <c r="J507" s="7">
        <v>1.9590000000000001</v>
      </c>
      <c r="K507" s="7">
        <v>0.39</v>
      </c>
      <c r="L507" s="7">
        <v>1.1100000000000001</v>
      </c>
      <c r="M507" s="7">
        <v>1.42</v>
      </c>
      <c r="N507" s="7">
        <v>1.2</v>
      </c>
      <c r="O507" s="7">
        <v>1.3</v>
      </c>
      <c r="P507">
        <f t="shared" si="7"/>
        <v>1.2575000000000001</v>
      </c>
      <c r="Q507">
        <v>2.9934455546898255E-2</v>
      </c>
      <c r="R507">
        <v>0.15749453774129765</v>
      </c>
      <c r="S507">
        <v>0.79391131275139348</v>
      </c>
      <c r="T507">
        <v>0.89181955725477013</v>
      </c>
      <c r="U507">
        <v>0.80273450390580769</v>
      </c>
      <c r="V507">
        <v>4.9723007973520292E-2</v>
      </c>
      <c r="W507">
        <v>547</v>
      </c>
      <c r="X507">
        <v>743</v>
      </c>
      <c r="Y507">
        <v>0.81715623082703137</v>
      </c>
      <c r="Z507">
        <v>8.7694903443614122E-2</v>
      </c>
      <c r="AB507">
        <v>19.662127525258395</v>
      </c>
      <c r="AC507">
        <v>17.598707147342953</v>
      </c>
      <c r="AD507">
        <v>21.923446745734967</v>
      </c>
      <c r="AE507" t="s">
        <v>226</v>
      </c>
    </row>
    <row r="508" spans="1:31" x14ac:dyDescent="0.3">
      <c r="A508">
        <v>506</v>
      </c>
      <c r="B508" t="s">
        <v>228</v>
      </c>
      <c r="C508" t="s">
        <v>189</v>
      </c>
      <c r="D508">
        <v>3</v>
      </c>
      <c r="E508" s="7" t="s">
        <v>21</v>
      </c>
      <c r="F508">
        <v>1</v>
      </c>
      <c r="G508" t="s">
        <v>22</v>
      </c>
      <c r="H508" s="13"/>
      <c r="I508" s="13"/>
      <c r="J508" s="7">
        <v>1.9590000000000001</v>
      </c>
      <c r="K508" s="7">
        <v>0.71699999999999997</v>
      </c>
      <c r="L508" s="7">
        <v>6.29</v>
      </c>
      <c r="M508" s="7">
        <v>5.65</v>
      </c>
      <c r="N508" s="7">
        <v>4.01</v>
      </c>
      <c r="O508" s="7">
        <v>4.8899999999999997</v>
      </c>
      <c r="P508">
        <f t="shared" si="7"/>
        <v>5.21</v>
      </c>
      <c r="Q508">
        <v>4.2443473580856948E-2</v>
      </c>
      <c r="R508">
        <v>0.10057372219868946</v>
      </c>
      <c r="S508">
        <v>0.85726438777158565</v>
      </c>
      <c r="T508">
        <v>0.94511845423411556</v>
      </c>
      <c r="U508">
        <v>0.99751547648559424</v>
      </c>
      <c r="V508">
        <v>2.4513756785667012E-2</v>
      </c>
      <c r="W508">
        <v>451</v>
      </c>
      <c r="X508">
        <v>674</v>
      </c>
      <c r="Y508">
        <v>0.74223901072800713</v>
      </c>
      <c r="Z508">
        <v>0.1294562236618832</v>
      </c>
      <c r="AB508">
        <v>29.564991206496558</v>
      </c>
      <c r="AC508">
        <v>26.462325629695719</v>
      </c>
      <c r="AD508">
        <v>26.528235654976204</v>
      </c>
      <c r="AE508" s="7" t="s">
        <v>226</v>
      </c>
    </row>
    <row r="509" spans="1:31" x14ac:dyDescent="0.3">
      <c r="A509">
        <v>507</v>
      </c>
      <c r="B509" t="s">
        <v>228</v>
      </c>
      <c r="C509" t="s">
        <v>189</v>
      </c>
      <c r="D509">
        <v>3</v>
      </c>
      <c r="E509" s="7" t="s">
        <v>21</v>
      </c>
      <c r="F509">
        <v>4</v>
      </c>
      <c r="G509" t="s">
        <v>192</v>
      </c>
      <c r="H509" s="13"/>
      <c r="I509" s="13"/>
      <c r="J509" s="7">
        <v>1.409</v>
      </c>
      <c r="K509" s="7">
        <v>0.25</v>
      </c>
      <c r="L509" s="7">
        <v>1.67</v>
      </c>
      <c r="M509" s="7">
        <v>1.47</v>
      </c>
      <c r="N509" s="7">
        <v>1.47</v>
      </c>
      <c r="O509" s="7">
        <v>1.88</v>
      </c>
      <c r="P509">
        <f t="shared" si="7"/>
        <v>1.6224999999999998</v>
      </c>
      <c r="Q509">
        <v>5.1897180875426094E-2</v>
      </c>
      <c r="R509">
        <v>0.35489851723709609</v>
      </c>
      <c r="S509">
        <v>0.93824188196456293</v>
      </c>
      <c r="T509">
        <v>0.91699327268480457</v>
      </c>
      <c r="U509">
        <v>0.44989581512716731</v>
      </c>
      <c r="V509">
        <v>3.7633850422219159E-2</v>
      </c>
      <c r="W509">
        <v>545</v>
      </c>
      <c r="X509">
        <v>706</v>
      </c>
      <c r="Y509">
        <v>0.85688632529792674</v>
      </c>
      <c r="Z509">
        <v>6.7076787843781238E-2</v>
      </c>
      <c r="AB509">
        <v>15.499265443475057</v>
      </c>
      <c r="AC509">
        <v>13.872678559280445</v>
      </c>
      <c r="AD509">
        <v>30.835313627798918</v>
      </c>
      <c r="AE509" t="s">
        <v>226</v>
      </c>
    </row>
    <row r="510" spans="1:31" x14ac:dyDescent="0.3">
      <c r="A510">
        <v>508</v>
      </c>
      <c r="B510" t="s">
        <v>228</v>
      </c>
      <c r="C510" t="s">
        <v>189</v>
      </c>
      <c r="D510">
        <v>3</v>
      </c>
      <c r="E510" s="7" t="s">
        <v>21</v>
      </c>
      <c r="F510">
        <v>5</v>
      </c>
      <c r="G510" t="s">
        <v>28</v>
      </c>
      <c r="H510" s="13"/>
      <c r="I510" s="13"/>
      <c r="J510" s="7">
        <v>3.641</v>
      </c>
      <c r="K510" s="7">
        <v>1.2270000000000001</v>
      </c>
      <c r="L510" s="7">
        <v>7.45</v>
      </c>
      <c r="M510" s="7">
        <v>6.82</v>
      </c>
      <c r="N510" s="7">
        <v>6.32</v>
      </c>
      <c r="O510" s="7">
        <v>8.9499999999999993</v>
      </c>
      <c r="P510">
        <f t="shared" si="7"/>
        <v>7.3849999999999998</v>
      </c>
      <c r="Q510">
        <v>3.3746284608498898E-2</v>
      </c>
      <c r="R510">
        <v>0.13065523190136055</v>
      </c>
      <c r="S510">
        <v>0.80772562283451577</v>
      </c>
      <c r="T510">
        <v>0.94761929881605811</v>
      </c>
      <c r="U510">
        <v>0.88387319488884131</v>
      </c>
      <c r="V510">
        <v>2.3366103200459776E-2</v>
      </c>
      <c r="W510">
        <v>382</v>
      </c>
      <c r="X510">
        <v>592</v>
      </c>
      <c r="Y510">
        <v>0.71533358432757332</v>
      </c>
      <c r="Z510">
        <v>0.14549138470567477</v>
      </c>
      <c r="AB510">
        <v>33.890778493338694</v>
      </c>
      <c r="AC510">
        <v>30.334123750358224</v>
      </c>
      <c r="AD510">
        <v>34.319542583450719</v>
      </c>
      <c r="AE510" s="7" t="s">
        <v>226</v>
      </c>
    </row>
    <row r="511" spans="1:31" x14ac:dyDescent="0.3">
      <c r="A511">
        <v>509</v>
      </c>
      <c r="B511" t="s">
        <v>228</v>
      </c>
      <c r="C511" t="s">
        <v>189</v>
      </c>
      <c r="D511">
        <v>3</v>
      </c>
      <c r="E511" s="7" t="s">
        <v>21</v>
      </c>
      <c r="F511">
        <v>6</v>
      </c>
      <c r="G511" t="s">
        <v>27</v>
      </c>
      <c r="H511" s="13"/>
      <c r="I511" s="13"/>
      <c r="J511" s="7">
        <v>2.8109999999999999</v>
      </c>
      <c r="K511" s="7">
        <v>0.504</v>
      </c>
      <c r="L511" s="7">
        <v>1.41</v>
      </c>
      <c r="M511" s="7">
        <v>1.84</v>
      </c>
      <c r="N511" s="7">
        <v>1.64</v>
      </c>
      <c r="O511" s="7">
        <v>1.59</v>
      </c>
      <c r="P511">
        <f t="shared" si="7"/>
        <v>1.6199999999999999</v>
      </c>
      <c r="Q511">
        <v>4.4959067820155373E-2</v>
      </c>
      <c r="R511">
        <v>0.23514405741381533</v>
      </c>
      <c r="S511">
        <v>0.87289713809124936</v>
      </c>
      <c r="T511">
        <v>0.90179490293848852</v>
      </c>
      <c r="U511">
        <v>0.62866599231658127</v>
      </c>
      <c r="V511">
        <v>4.4892223711133945E-2</v>
      </c>
      <c r="W511">
        <v>552</v>
      </c>
      <c r="X511">
        <v>748</v>
      </c>
      <c r="Y511">
        <v>0.81913331073655238</v>
      </c>
      <c r="Z511">
        <v>8.6645412762384397E-2</v>
      </c>
      <c r="AB511">
        <v>19.438634366852959</v>
      </c>
      <c r="AC511">
        <v>17.398667063238246</v>
      </c>
      <c r="AD511">
        <v>27.675534029008986</v>
      </c>
      <c r="AE511" t="s">
        <v>226</v>
      </c>
    </row>
    <row r="512" spans="1:31" x14ac:dyDescent="0.3">
      <c r="A512">
        <v>510</v>
      </c>
      <c r="B512" t="s">
        <v>228</v>
      </c>
      <c r="C512" t="s">
        <v>189</v>
      </c>
      <c r="D512">
        <v>3</v>
      </c>
      <c r="E512" s="7" t="s">
        <v>21</v>
      </c>
      <c r="F512">
        <v>7</v>
      </c>
      <c r="G512" t="s">
        <v>24</v>
      </c>
      <c r="H512" s="13"/>
      <c r="I512" s="13"/>
      <c r="J512" s="7">
        <v>0.89400000000000002</v>
      </c>
      <c r="K512" s="7">
        <v>0.27100000000000002</v>
      </c>
      <c r="L512" s="7">
        <v>3.35</v>
      </c>
      <c r="M512" s="7">
        <v>3.36</v>
      </c>
      <c r="N512" s="7">
        <v>4.1900000000000004</v>
      </c>
      <c r="O512" s="7">
        <v>4.09</v>
      </c>
      <c r="P512">
        <f t="shared" si="7"/>
        <v>3.7475000000000001</v>
      </c>
      <c r="Q512">
        <v>3.0316766843469248E-2</v>
      </c>
      <c r="R512">
        <v>8.8794817797041153E-2</v>
      </c>
      <c r="S512">
        <v>0.96720006642169343</v>
      </c>
      <c r="T512">
        <v>0.80291714552366145</v>
      </c>
      <c r="U512">
        <v>1.0516123795797567</v>
      </c>
      <c r="V512">
        <v>9.5329268044356347E-2</v>
      </c>
      <c r="W512">
        <v>614</v>
      </c>
      <c r="X512">
        <v>717</v>
      </c>
      <c r="Y512">
        <v>0.95093514695166381</v>
      </c>
      <c r="Z512">
        <v>2.1849100603523852E-2</v>
      </c>
      <c r="AB512">
        <v>8.0494200263836149</v>
      </c>
      <c r="AC512">
        <v>7.2044979013447357</v>
      </c>
      <c r="AD512">
        <v>6.8509063237005474</v>
      </c>
      <c r="AE512" s="7" t="s">
        <v>226</v>
      </c>
    </row>
    <row r="513" spans="1:31" x14ac:dyDescent="0.3">
      <c r="A513">
        <v>511</v>
      </c>
      <c r="B513" t="s">
        <v>228</v>
      </c>
      <c r="C513" t="s">
        <v>189</v>
      </c>
      <c r="D513">
        <v>3</v>
      </c>
      <c r="E513" s="7" t="s">
        <v>21</v>
      </c>
      <c r="F513">
        <v>11</v>
      </c>
      <c r="G513" t="s">
        <v>23</v>
      </c>
      <c r="H513" s="13"/>
      <c r="I513" s="13"/>
      <c r="J513" s="7">
        <v>1.8580000000000001</v>
      </c>
      <c r="K513" s="7">
        <v>0.47399999999999998</v>
      </c>
      <c r="L513" s="7">
        <v>2.15</v>
      </c>
      <c r="M513" s="7">
        <v>2.15</v>
      </c>
      <c r="N513" s="7">
        <v>2.2200000000000002</v>
      </c>
      <c r="O513" s="7">
        <v>2.82</v>
      </c>
      <c r="P513">
        <f t="shared" si="7"/>
        <v>2.335</v>
      </c>
      <c r="Q513">
        <v>4.6693487624333951E-2</v>
      </c>
      <c r="R513">
        <v>0.11600230869746964</v>
      </c>
      <c r="S513">
        <v>0.80607838825692513</v>
      </c>
      <c r="T513">
        <v>0.96487493877002206</v>
      </c>
      <c r="U513">
        <v>0.93553336728520331</v>
      </c>
      <c r="V513">
        <v>1.5528973621817811E-2</v>
      </c>
      <c r="W513">
        <v>446</v>
      </c>
      <c r="X513">
        <v>700</v>
      </c>
      <c r="Y513">
        <v>0.70667266720086053</v>
      </c>
      <c r="Z513">
        <v>0.15078170607229108</v>
      </c>
      <c r="AB513">
        <v>35.381653461924621</v>
      </c>
      <c r="AC513">
        <v>31.668529568342969</v>
      </c>
      <c r="AD513">
        <v>33.850775050644039</v>
      </c>
      <c r="AE513" t="s">
        <v>226</v>
      </c>
    </row>
    <row r="514" spans="1:31" x14ac:dyDescent="0.3">
      <c r="A514">
        <v>512</v>
      </c>
      <c r="B514" t="s">
        <v>228</v>
      </c>
      <c r="C514" t="s">
        <v>189</v>
      </c>
      <c r="D514">
        <v>4</v>
      </c>
      <c r="E514" s="7" t="s">
        <v>21</v>
      </c>
      <c r="F514">
        <v>1</v>
      </c>
      <c r="G514" t="s">
        <v>28</v>
      </c>
      <c r="H514" s="13"/>
      <c r="I514" s="13"/>
      <c r="J514" s="7">
        <v>1.3480000000000001</v>
      </c>
      <c r="K514" s="7">
        <v>0.32900000000000001</v>
      </c>
      <c r="L514" s="7">
        <v>4.76</v>
      </c>
      <c r="M514" s="7">
        <v>3.58</v>
      </c>
      <c r="N514" s="7">
        <v>4.3099999999999996</v>
      </c>
      <c r="O514" s="7">
        <v>4.08</v>
      </c>
      <c r="P514">
        <f t="shared" si="7"/>
        <v>4.1824999999999992</v>
      </c>
      <c r="Q514">
        <v>3.5953985470737138E-2</v>
      </c>
      <c r="R514">
        <v>5.7390615881906033E-2</v>
      </c>
      <c r="S514">
        <v>0.83377326025569654</v>
      </c>
      <c r="T514">
        <v>0.81563649668344773</v>
      </c>
      <c r="U514">
        <v>1.2411591146383336</v>
      </c>
      <c r="V514">
        <v>8.8503349404928974E-2</v>
      </c>
      <c r="W514">
        <v>598</v>
      </c>
      <c r="X514">
        <v>701</v>
      </c>
      <c r="Y514">
        <v>0.94724150529777118</v>
      </c>
      <c r="Z514">
        <v>2.3539280715249928E-2</v>
      </c>
      <c r="AB514">
        <v>8.286268668221588</v>
      </c>
      <c r="AC514">
        <v>7.4164982864762559</v>
      </c>
      <c r="AD514">
        <v>5.9754613240199905</v>
      </c>
      <c r="AE514" s="7" t="s">
        <v>226</v>
      </c>
    </row>
    <row r="515" spans="1:31" x14ac:dyDescent="0.3">
      <c r="A515">
        <v>513</v>
      </c>
      <c r="B515" t="s">
        <v>228</v>
      </c>
      <c r="C515" t="s">
        <v>189</v>
      </c>
      <c r="D515">
        <v>4</v>
      </c>
      <c r="E515" s="7" t="s">
        <v>21</v>
      </c>
      <c r="F515">
        <v>4</v>
      </c>
      <c r="G515" t="s">
        <v>27</v>
      </c>
      <c r="H515" s="13"/>
      <c r="I515" s="13"/>
      <c r="J515" s="7">
        <v>1.1870000000000001</v>
      </c>
      <c r="K515" s="7">
        <v>0.184</v>
      </c>
      <c r="L515" s="7">
        <v>1.25</v>
      </c>
      <c r="M515" s="7">
        <v>1.07</v>
      </c>
      <c r="N515" s="7">
        <v>1.41</v>
      </c>
      <c r="O515" s="7">
        <v>1.07</v>
      </c>
      <c r="P515">
        <f t="shared" si="7"/>
        <v>1.2000000000000002</v>
      </c>
      <c r="Q515">
        <v>3.8236248794416318E-2</v>
      </c>
      <c r="R515">
        <v>0.20474398585125742</v>
      </c>
      <c r="S515">
        <v>0.86043882226148238</v>
      </c>
      <c r="T515">
        <v>0.92043318474045155</v>
      </c>
      <c r="U515">
        <v>0.68878884634396886</v>
      </c>
      <c r="V515">
        <v>3.6007731930970746E-2</v>
      </c>
      <c r="W515">
        <v>595</v>
      </c>
      <c r="X515">
        <v>784</v>
      </c>
      <c r="Y515">
        <v>0.84256891162262004</v>
      </c>
      <c r="Z515">
        <v>7.4394569134910285E-2</v>
      </c>
      <c r="AB515">
        <v>16.921784798689472</v>
      </c>
      <c r="AC515">
        <v>15.14592760777786</v>
      </c>
      <c r="AD515">
        <v>21.989217287955697</v>
      </c>
      <c r="AE515" t="s">
        <v>226</v>
      </c>
    </row>
    <row r="516" spans="1:31" x14ac:dyDescent="0.3">
      <c r="A516">
        <v>514</v>
      </c>
      <c r="B516" t="s">
        <v>228</v>
      </c>
      <c r="C516" t="s">
        <v>189</v>
      </c>
      <c r="D516">
        <v>4</v>
      </c>
      <c r="E516" s="7" t="s">
        <v>21</v>
      </c>
      <c r="F516">
        <v>7</v>
      </c>
      <c r="G516" t="s">
        <v>23</v>
      </c>
      <c r="H516" s="13"/>
      <c r="I516" s="13"/>
      <c r="J516" s="7">
        <v>1.2370000000000001</v>
      </c>
      <c r="K516" s="7">
        <v>0.23699999999999999</v>
      </c>
      <c r="L516" s="7">
        <v>1.07</v>
      </c>
      <c r="M516" s="7">
        <v>1.0900000000000001</v>
      </c>
      <c r="N516" s="7">
        <v>1.17</v>
      </c>
      <c r="O516" s="7">
        <v>1</v>
      </c>
      <c r="P516">
        <f t="shared" ref="P516:P575" si="8">AVERAGE(L516:O516)</f>
        <v>1.0825</v>
      </c>
      <c r="Q516">
        <v>3.2175548452176038E-2</v>
      </c>
      <c r="R516">
        <v>0.11184087850756462</v>
      </c>
      <c r="S516">
        <v>0.81489751627682661</v>
      </c>
      <c r="T516">
        <v>0.884234096828584</v>
      </c>
      <c r="U516">
        <v>0.95139943021168816</v>
      </c>
      <c r="V516">
        <v>5.3432742337863756E-2</v>
      </c>
      <c r="W516">
        <v>512</v>
      </c>
      <c r="X516">
        <v>706</v>
      </c>
      <c r="Y516">
        <v>0.80481036077705825</v>
      </c>
      <c r="Z516">
        <v>9.4306441334691835E-2</v>
      </c>
      <c r="AB516">
        <v>21.098684193821384</v>
      </c>
      <c r="AC516">
        <v>18.884512003191531</v>
      </c>
      <c r="AD516">
        <v>19.849194148654988</v>
      </c>
      <c r="AE516" s="7" t="s">
        <v>226</v>
      </c>
    </row>
    <row r="517" spans="1:31" x14ac:dyDescent="0.3">
      <c r="A517">
        <v>515</v>
      </c>
      <c r="B517" t="s">
        <v>228</v>
      </c>
      <c r="C517" t="s">
        <v>189</v>
      </c>
      <c r="D517">
        <v>4</v>
      </c>
      <c r="E517" s="7" t="s">
        <v>21</v>
      </c>
      <c r="F517">
        <v>10</v>
      </c>
      <c r="G517" t="s">
        <v>25</v>
      </c>
      <c r="H517" s="13"/>
      <c r="I517" s="13"/>
      <c r="J517" s="7">
        <v>3.01</v>
      </c>
      <c r="K517" s="7">
        <v>0.42</v>
      </c>
      <c r="L517" s="7">
        <v>1</v>
      </c>
      <c r="M517" s="7">
        <v>0.85</v>
      </c>
      <c r="N517" s="7">
        <v>1.08</v>
      </c>
      <c r="O517" s="7">
        <v>1.06</v>
      </c>
      <c r="P517">
        <f t="shared" si="8"/>
        <v>0.99750000000000005</v>
      </c>
      <c r="Q517">
        <v>0.11879559181598548</v>
      </c>
      <c r="R517">
        <v>0.24586616329264177</v>
      </c>
      <c r="S517">
        <v>0.81573341388746179</v>
      </c>
      <c r="T517">
        <v>0.9513388190106864</v>
      </c>
      <c r="U517">
        <v>0.60930123582587292</v>
      </c>
      <c r="V517">
        <v>2.1664781674178818E-2</v>
      </c>
      <c r="W517">
        <v>501</v>
      </c>
      <c r="X517">
        <v>722</v>
      </c>
      <c r="Y517">
        <v>0.76997704949434398</v>
      </c>
      <c r="Z517">
        <v>0.11352221953726858</v>
      </c>
      <c r="AB517">
        <v>25.554159458931853</v>
      </c>
      <c r="AC517">
        <v>22.872416957322827</v>
      </c>
      <c r="AD517">
        <v>37.538766725658412</v>
      </c>
      <c r="AE517" t="s">
        <v>226</v>
      </c>
    </row>
    <row r="518" spans="1:31" x14ac:dyDescent="0.3">
      <c r="A518">
        <v>516</v>
      </c>
      <c r="B518" t="s">
        <v>228</v>
      </c>
      <c r="C518" t="s">
        <v>189</v>
      </c>
      <c r="D518">
        <v>4</v>
      </c>
      <c r="E518" s="7" t="s">
        <v>21</v>
      </c>
      <c r="F518">
        <v>11</v>
      </c>
      <c r="G518" t="s">
        <v>192</v>
      </c>
      <c r="H518" s="13"/>
      <c r="I518" s="13"/>
      <c r="J518" s="7">
        <v>3.3</v>
      </c>
      <c r="K518">
        <v>0.85299999999999998</v>
      </c>
      <c r="L518">
        <v>2.0499999999999998</v>
      </c>
      <c r="M518">
        <v>2.02</v>
      </c>
      <c r="N518">
        <v>1.96</v>
      </c>
      <c r="O518">
        <v>2.36</v>
      </c>
      <c r="P518">
        <f t="shared" si="8"/>
        <v>2.0975000000000001</v>
      </c>
      <c r="Q518">
        <v>3.1309098150759468E-2</v>
      </c>
      <c r="R518">
        <v>0.29024869155806221</v>
      </c>
      <c r="S518">
        <v>0.90473886878693421</v>
      </c>
      <c r="T518">
        <v>0.92531128481873037</v>
      </c>
      <c r="U518">
        <v>0.53722972938575131</v>
      </c>
      <c r="V518">
        <v>3.371214127507581E-2</v>
      </c>
      <c r="W518">
        <v>529</v>
      </c>
      <c r="X518">
        <v>701</v>
      </c>
      <c r="Y518">
        <v>0.83757763975155275</v>
      </c>
      <c r="Z518">
        <v>7.6974925242939723E-2</v>
      </c>
      <c r="AB518">
        <v>17.43780916573365</v>
      </c>
      <c r="AC518">
        <v>15.607802785103095</v>
      </c>
      <c r="AD518">
        <v>29.052381004581562</v>
      </c>
      <c r="AE518" s="7" t="s">
        <v>226</v>
      </c>
    </row>
    <row r="519" spans="1:31" x14ac:dyDescent="0.3">
      <c r="A519">
        <v>517</v>
      </c>
      <c r="B519" t="s">
        <v>228</v>
      </c>
      <c r="C519" t="s">
        <v>189</v>
      </c>
      <c r="D519">
        <v>4</v>
      </c>
      <c r="E519" s="7" t="s">
        <v>21</v>
      </c>
      <c r="F519">
        <v>14</v>
      </c>
      <c r="G519" t="s">
        <v>22</v>
      </c>
      <c r="H519" s="13"/>
      <c r="I519" s="13"/>
      <c r="J519" s="7">
        <v>2.17</v>
      </c>
      <c r="K519">
        <v>0.82499999999999996</v>
      </c>
      <c r="L519">
        <v>3.5</v>
      </c>
      <c r="M519">
        <v>4.05</v>
      </c>
      <c r="N519">
        <v>4.99</v>
      </c>
      <c r="O519">
        <v>5.22</v>
      </c>
      <c r="P519">
        <f t="shared" si="8"/>
        <v>4.4399999999999995</v>
      </c>
      <c r="Q519">
        <v>3.9453278353326418E-2</v>
      </c>
      <c r="R519">
        <v>9.1287498271692954E-2</v>
      </c>
      <c r="S519">
        <v>0.92914868221674418</v>
      </c>
      <c r="T519">
        <v>0.84811390826837474</v>
      </c>
      <c r="U519">
        <v>1.0395886945728046</v>
      </c>
      <c r="V519">
        <v>7.1545814712430739E-2</v>
      </c>
      <c r="W519">
        <v>526</v>
      </c>
      <c r="X519">
        <v>647</v>
      </c>
      <c r="Y519">
        <v>0.90242531256680891</v>
      </c>
      <c r="Z519">
        <v>4.4588731452586919E-2</v>
      </c>
      <c r="AB519">
        <v>11.506281334192796</v>
      </c>
      <c r="AC519">
        <v>10.298671985847145</v>
      </c>
      <c r="AD519">
        <v>9.9064870939936025</v>
      </c>
      <c r="AE519" t="s">
        <v>226</v>
      </c>
    </row>
    <row r="520" spans="1:31" x14ac:dyDescent="0.3">
      <c r="A520">
        <v>518</v>
      </c>
      <c r="B520" t="s">
        <v>229</v>
      </c>
      <c r="C520" t="s">
        <v>189</v>
      </c>
      <c r="D520">
        <v>1</v>
      </c>
      <c r="E520" s="7" t="s">
        <v>21</v>
      </c>
      <c r="F520">
        <v>2</v>
      </c>
      <c r="G520" t="s">
        <v>27</v>
      </c>
      <c r="H520" s="13"/>
      <c r="I520" s="13"/>
      <c r="J520" s="7">
        <v>1.361</v>
      </c>
      <c r="K520" s="7">
        <v>0.36199999999999999</v>
      </c>
      <c r="L520" s="7">
        <v>1.26</v>
      </c>
      <c r="M520" s="7">
        <v>1.22</v>
      </c>
      <c r="N520" s="7">
        <v>1.07</v>
      </c>
      <c r="O520" s="7">
        <v>1.45</v>
      </c>
      <c r="P520">
        <f t="shared" si="8"/>
        <v>1.25</v>
      </c>
      <c r="Q520">
        <v>2.2874984214084206E-2</v>
      </c>
      <c r="R520">
        <v>6.2720057831089499E-2</v>
      </c>
      <c r="S520">
        <v>0.76675023768714978</v>
      </c>
      <c r="T520">
        <v>0.75527213927392456</v>
      </c>
      <c r="U520">
        <v>1.2025935498817897</v>
      </c>
      <c r="V520">
        <v>0.12189653540446577</v>
      </c>
      <c r="W520">
        <v>588</v>
      </c>
      <c r="X520">
        <v>739</v>
      </c>
      <c r="Y520">
        <v>0.85278756833811109</v>
      </c>
      <c r="Z520">
        <v>6.9159139276123383E-2</v>
      </c>
      <c r="AB520">
        <v>15.897901668832702</v>
      </c>
      <c r="AC520">
        <v>14.229484732595692</v>
      </c>
      <c r="AD520">
        <v>11.83233082698173</v>
      </c>
      <c r="AE520" s="7" t="s">
        <v>226</v>
      </c>
    </row>
    <row r="521" spans="1:31" x14ac:dyDescent="0.3">
      <c r="A521">
        <v>519</v>
      </c>
      <c r="B521" t="s">
        <v>229</v>
      </c>
      <c r="C521" t="s">
        <v>189</v>
      </c>
      <c r="D521">
        <v>1</v>
      </c>
      <c r="E521" s="7" t="s">
        <v>21</v>
      </c>
      <c r="F521">
        <v>12</v>
      </c>
      <c r="G521" t="s">
        <v>28</v>
      </c>
      <c r="H521" s="13"/>
      <c r="I521" s="13"/>
      <c r="J521" s="7">
        <v>1.8540000000000001</v>
      </c>
      <c r="K521" s="7">
        <v>0.78500000000000003</v>
      </c>
      <c r="L521" s="7">
        <v>6.79</v>
      </c>
      <c r="M521" s="7">
        <v>5.39</v>
      </c>
      <c r="N521" s="7">
        <v>6.19</v>
      </c>
      <c r="O521" s="7">
        <v>5.85</v>
      </c>
      <c r="P521">
        <f t="shared" si="8"/>
        <v>6.0549999999999997</v>
      </c>
      <c r="Q521">
        <v>4.7370539516904626E-2</v>
      </c>
      <c r="R521">
        <v>3.3651633703775045E-2</v>
      </c>
      <c r="S521">
        <v>0.71565165527945906</v>
      </c>
      <c r="T521">
        <v>0.77159863965059994</v>
      </c>
      <c r="U521">
        <v>1.4729938470028023</v>
      </c>
      <c r="V521">
        <v>0.11260854670046867</v>
      </c>
      <c r="W521">
        <v>439</v>
      </c>
      <c r="X521">
        <v>530</v>
      </c>
      <c r="Y521">
        <v>0.88720784116612217</v>
      </c>
      <c r="Z521">
        <v>5.197462853593636E-2</v>
      </c>
      <c r="AB521">
        <v>12.754732245693145</v>
      </c>
      <c r="AC521">
        <v>11.416128790588008</v>
      </c>
      <c r="AD521">
        <v>7.7502895302768291</v>
      </c>
      <c r="AE521" t="s">
        <v>226</v>
      </c>
    </row>
    <row r="522" spans="1:31" x14ac:dyDescent="0.3">
      <c r="A522">
        <v>520</v>
      </c>
      <c r="B522" t="s">
        <v>229</v>
      </c>
      <c r="C522" t="s">
        <v>189</v>
      </c>
      <c r="D522">
        <v>1</v>
      </c>
      <c r="E522" s="7" t="s">
        <v>21</v>
      </c>
      <c r="F522">
        <v>5</v>
      </c>
      <c r="G522" t="s">
        <v>26</v>
      </c>
      <c r="H522" s="13"/>
      <c r="I522" s="13"/>
      <c r="J522" s="7">
        <v>1.8</v>
      </c>
      <c r="K522" s="7">
        <v>0.59</v>
      </c>
      <c r="L522" s="7">
        <v>1.46</v>
      </c>
      <c r="M522" s="7">
        <v>1.55</v>
      </c>
      <c r="N522" s="7">
        <v>0.81</v>
      </c>
      <c r="O522" s="7">
        <v>1.17</v>
      </c>
      <c r="P522">
        <f t="shared" si="8"/>
        <v>1.2475000000000001</v>
      </c>
      <c r="Q522">
        <v>2.9049465814286884E-2</v>
      </c>
      <c r="R522">
        <v>4.3445256230742996E-2</v>
      </c>
      <c r="S522">
        <v>0.64419652372604042</v>
      </c>
      <c r="T522">
        <v>0.94110230801730044</v>
      </c>
      <c r="U522">
        <v>1.3620576370584319</v>
      </c>
      <c r="V522">
        <v>2.6363161490733408E-2</v>
      </c>
      <c r="W522">
        <v>340</v>
      </c>
      <c r="X522">
        <v>579</v>
      </c>
      <c r="Y522">
        <v>0.62804168250095005</v>
      </c>
      <c r="Z522">
        <v>0.20201153161404678</v>
      </c>
      <c r="AB522">
        <v>51.45397905960278</v>
      </c>
      <c r="AC522">
        <v>46.053981456378452</v>
      </c>
      <c r="AD522">
        <v>33.8120650722527</v>
      </c>
      <c r="AE522" s="7" t="s">
        <v>226</v>
      </c>
    </row>
    <row r="523" spans="1:31" x14ac:dyDescent="0.3">
      <c r="A523">
        <v>521</v>
      </c>
      <c r="B523" t="s">
        <v>229</v>
      </c>
      <c r="C523" t="s">
        <v>189</v>
      </c>
      <c r="D523">
        <v>1</v>
      </c>
      <c r="E523" s="7" t="s">
        <v>21</v>
      </c>
      <c r="F523">
        <v>10</v>
      </c>
      <c r="G523" t="s">
        <v>22</v>
      </c>
      <c r="H523" s="13"/>
      <c r="I523" s="13"/>
      <c r="J523" s="7">
        <v>1.4970000000000001</v>
      </c>
      <c r="K523" s="7">
        <v>0.74399999999999999</v>
      </c>
      <c r="L523" s="7">
        <v>4.34</v>
      </c>
      <c r="M523" s="7">
        <v>4.96</v>
      </c>
      <c r="N523" s="7">
        <v>3.7</v>
      </c>
      <c r="O523" s="7">
        <v>4.49</v>
      </c>
      <c r="P523">
        <f t="shared" si="8"/>
        <v>4.3725000000000005</v>
      </c>
      <c r="Q523">
        <v>4.5450949026677116E-2</v>
      </c>
      <c r="R523">
        <v>9.9837810415620204E-2</v>
      </c>
      <c r="S523">
        <v>0.8909084518069017</v>
      </c>
      <c r="T523">
        <v>0.76075704950830314</v>
      </c>
      <c r="U523">
        <v>1.0007049522494045</v>
      </c>
      <c r="V523">
        <v>0.1187540145881045</v>
      </c>
      <c r="W523">
        <v>605</v>
      </c>
      <c r="X523">
        <v>704</v>
      </c>
      <c r="Y523">
        <v>0.92121625732821344</v>
      </c>
      <c r="Z523">
        <v>3.5638406350845142E-2</v>
      </c>
      <c r="AB523">
        <v>10.075962706763821</v>
      </c>
      <c r="AC523">
        <v>9.0184246477056291</v>
      </c>
      <c r="AD523">
        <v>9.012071567582268</v>
      </c>
      <c r="AE523" t="s">
        <v>226</v>
      </c>
    </row>
    <row r="524" spans="1:31" x14ac:dyDescent="0.3">
      <c r="A524">
        <v>522</v>
      </c>
      <c r="B524" t="s">
        <v>229</v>
      </c>
      <c r="C524" t="s">
        <v>189</v>
      </c>
      <c r="D524">
        <v>1</v>
      </c>
      <c r="E524" s="7" t="s">
        <v>21</v>
      </c>
      <c r="F524">
        <v>16</v>
      </c>
      <c r="G524" t="s">
        <v>192</v>
      </c>
      <c r="H524" s="13"/>
      <c r="I524" s="13"/>
      <c r="J524" s="7">
        <v>5.08</v>
      </c>
      <c r="K524" s="7">
        <v>1.55</v>
      </c>
      <c r="L524" s="7">
        <v>1.84</v>
      </c>
      <c r="M524" s="7">
        <v>1.81</v>
      </c>
      <c r="N524" s="7">
        <v>2.14</v>
      </c>
      <c r="O524" s="7">
        <v>2.02</v>
      </c>
      <c r="P524">
        <f t="shared" si="8"/>
        <v>1.9525000000000001</v>
      </c>
      <c r="Q524">
        <v>3.093769391985212E-2</v>
      </c>
      <c r="R524">
        <v>0.11343420959159993</v>
      </c>
      <c r="S524">
        <v>0.8788649342602135</v>
      </c>
      <c r="T524">
        <v>0.87722946468442764</v>
      </c>
      <c r="U524">
        <v>0.94525595076643265</v>
      </c>
      <c r="V524">
        <v>5.6886789517369897E-2</v>
      </c>
      <c r="W524">
        <v>466</v>
      </c>
      <c r="X524">
        <v>603</v>
      </c>
      <c r="Y524">
        <v>0.82779175388397064</v>
      </c>
      <c r="Z524">
        <v>8.2078904174116105E-2</v>
      </c>
      <c r="AB524">
        <v>18.480660976617116</v>
      </c>
      <c r="AC524">
        <v>16.541221380194891</v>
      </c>
      <c r="AD524">
        <v>17.499198356575203</v>
      </c>
      <c r="AE524" s="7" t="s">
        <v>226</v>
      </c>
    </row>
    <row r="525" spans="1:31" x14ac:dyDescent="0.3">
      <c r="A525">
        <v>523</v>
      </c>
      <c r="B525" t="s">
        <v>229</v>
      </c>
      <c r="C525" t="s">
        <v>189</v>
      </c>
      <c r="D525">
        <v>2</v>
      </c>
      <c r="E525" s="7" t="s">
        <v>21</v>
      </c>
      <c r="F525">
        <v>2</v>
      </c>
      <c r="G525" t="s">
        <v>27</v>
      </c>
      <c r="H525" s="13"/>
      <c r="I525" s="13"/>
      <c r="J525" s="7">
        <v>1.7809999999999999</v>
      </c>
      <c r="K525" s="7">
        <v>0.48</v>
      </c>
      <c r="L525" s="7">
        <v>1.9</v>
      </c>
      <c r="M525" s="7">
        <v>1.73</v>
      </c>
      <c r="N525" s="7">
        <v>1.75</v>
      </c>
      <c r="O525" s="7">
        <v>1.8</v>
      </c>
      <c r="P525">
        <f t="shared" si="8"/>
        <v>1.7949999999999999</v>
      </c>
      <c r="Q525">
        <v>3.0384097573114888E-2</v>
      </c>
      <c r="R525">
        <v>8.1004020531227502E-2</v>
      </c>
      <c r="S525">
        <v>0.72757413485839051</v>
      </c>
      <c r="T525">
        <v>0.93826174843134225</v>
      </c>
      <c r="U525">
        <v>1.0914934249337809</v>
      </c>
      <c r="V525">
        <v>2.7675988868561038E-2</v>
      </c>
      <c r="W525">
        <v>468</v>
      </c>
      <c r="X525">
        <v>700</v>
      </c>
      <c r="Y525">
        <v>0.71599229287090549</v>
      </c>
      <c r="Z525">
        <v>0.14509165252685377</v>
      </c>
      <c r="AB525">
        <v>33.779413704053681</v>
      </c>
      <c r="AC525">
        <v>30.23444678198387</v>
      </c>
      <c r="AD525">
        <v>27.700072296650017</v>
      </c>
      <c r="AE525" t="s">
        <v>226</v>
      </c>
    </row>
    <row r="526" spans="1:31" x14ac:dyDescent="0.3">
      <c r="A526">
        <v>524</v>
      </c>
      <c r="B526" t="s">
        <v>229</v>
      </c>
      <c r="C526" t="s">
        <v>189</v>
      </c>
      <c r="D526">
        <v>2</v>
      </c>
      <c r="E526" s="7" t="s">
        <v>21</v>
      </c>
      <c r="F526">
        <v>7</v>
      </c>
      <c r="G526" t="s">
        <v>23</v>
      </c>
      <c r="H526" s="13"/>
      <c r="I526" s="13"/>
      <c r="J526" s="7">
        <v>1.853</v>
      </c>
      <c r="K526" s="7">
        <v>0.55600000000000005</v>
      </c>
      <c r="L526" s="7">
        <v>2.2799999999999998</v>
      </c>
      <c r="M526" s="7">
        <v>2.63</v>
      </c>
      <c r="N526" s="7">
        <v>2.2999999999999998</v>
      </c>
      <c r="O526" s="7">
        <v>1.46</v>
      </c>
      <c r="P526">
        <f t="shared" si="8"/>
        <v>2.1675</v>
      </c>
      <c r="Q526">
        <v>3.9229782903963888E-2</v>
      </c>
      <c r="R526">
        <v>0.14204447560623337</v>
      </c>
      <c r="S526">
        <v>0.82226834536192728</v>
      </c>
      <c r="T526">
        <v>0.95440564867868871</v>
      </c>
      <c r="U526">
        <v>0.84757565219365505</v>
      </c>
      <c r="V526">
        <v>2.0266998945085806E-2</v>
      </c>
      <c r="W526">
        <v>498</v>
      </c>
      <c r="X526">
        <v>704</v>
      </c>
      <c r="Y526">
        <v>0.75775002261159852</v>
      </c>
      <c r="Z526">
        <v>0.12047404200079895</v>
      </c>
      <c r="AB526">
        <v>27.268776606596447</v>
      </c>
      <c r="AC526">
        <v>24.40709243205395</v>
      </c>
      <c r="AD526">
        <v>28.796358612808984</v>
      </c>
      <c r="AE526" s="7" t="s">
        <v>226</v>
      </c>
    </row>
    <row r="527" spans="1:31" x14ac:dyDescent="0.3">
      <c r="A527">
        <v>525</v>
      </c>
      <c r="B527" t="s">
        <v>229</v>
      </c>
      <c r="C527" t="s">
        <v>189</v>
      </c>
      <c r="D527">
        <v>2</v>
      </c>
      <c r="E527" s="7" t="s">
        <v>21</v>
      </c>
      <c r="F527">
        <v>10</v>
      </c>
      <c r="G527" t="s">
        <v>28</v>
      </c>
      <c r="H527" s="13"/>
      <c r="I527" s="13"/>
      <c r="J527" s="7">
        <v>2.4990000000000001</v>
      </c>
      <c r="K527">
        <v>1.002</v>
      </c>
      <c r="L527">
        <v>3.39</v>
      </c>
      <c r="M527">
        <v>3.39</v>
      </c>
      <c r="N527">
        <v>3.34</v>
      </c>
      <c r="O527">
        <v>4</v>
      </c>
      <c r="P527">
        <f t="shared" si="8"/>
        <v>3.5300000000000002</v>
      </c>
      <c r="Q527">
        <v>2.5863824324850709E-2</v>
      </c>
      <c r="R527">
        <v>3.3635594932349543E-2</v>
      </c>
      <c r="S527">
        <v>0.66126613741812401</v>
      </c>
      <c r="T527">
        <v>0.92243730242671873</v>
      </c>
      <c r="U527">
        <v>1.4732008862939046</v>
      </c>
      <c r="V527">
        <v>3.5063142930919715E-2</v>
      </c>
      <c r="W527">
        <v>387</v>
      </c>
      <c r="X527">
        <v>569</v>
      </c>
      <c r="Y527">
        <v>0.72796751607913379</v>
      </c>
      <c r="Z527">
        <v>0.13788799967369064</v>
      </c>
      <c r="AB527">
        <v>31.803417679854544</v>
      </c>
      <c r="AC527">
        <v>28.465831856519628</v>
      </c>
      <c r="AD527">
        <v>19.322437368423273</v>
      </c>
      <c r="AE527" t="s">
        <v>226</v>
      </c>
    </row>
    <row r="528" spans="1:31" x14ac:dyDescent="0.3">
      <c r="A528">
        <v>526</v>
      </c>
      <c r="B528" t="s">
        <v>229</v>
      </c>
      <c r="C528" t="s">
        <v>189</v>
      </c>
      <c r="D528">
        <v>2</v>
      </c>
      <c r="E528" s="7" t="s">
        <v>21</v>
      </c>
      <c r="F528">
        <v>9</v>
      </c>
      <c r="G528" t="s">
        <v>29</v>
      </c>
      <c r="H528" s="13"/>
      <c r="I528" s="13"/>
      <c r="J528" s="7">
        <v>1.53</v>
      </c>
      <c r="K528">
        <v>0.58099999999999996</v>
      </c>
      <c r="L528">
        <v>3.64</v>
      </c>
      <c r="M528">
        <v>3.47</v>
      </c>
      <c r="N528">
        <v>3.16</v>
      </c>
      <c r="O528">
        <v>3.09</v>
      </c>
      <c r="P528">
        <f t="shared" si="8"/>
        <v>3.34</v>
      </c>
      <c r="Q528">
        <v>3.3432669235969228E-2</v>
      </c>
      <c r="R528">
        <v>8.1897543562900812E-2</v>
      </c>
      <c r="S528">
        <v>0.68454328727703584</v>
      </c>
      <c r="T528">
        <v>0.86278656405120302</v>
      </c>
      <c r="U528">
        <v>1.0867291242844683</v>
      </c>
      <c r="V528">
        <v>6.4096626670855722E-2</v>
      </c>
      <c r="W528">
        <v>543</v>
      </c>
      <c r="X528">
        <v>707</v>
      </c>
      <c r="Y528">
        <v>0.82298547544580725</v>
      </c>
      <c r="Z528">
        <v>8.4607829416406752E-2</v>
      </c>
      <c r="AB528">
        <v>19.008275183527843</v>
      </c>
      <c r="AC528">
        <v>17.013469016758037</v>
      </c>
      <c r="AD528">
        <v>15.655666749485675</v>
      </c>
      <c r="AE528" s="7" t="s">
        <v>226</v>
      </c>
    </row>
    <row r="529" spans="1:32" x14ac:dyDescent="0.3">
      <c r="A529">
        <v>527</v>
      </c>
      <c r="B529" t="s">
        <v>229</v>
      </c>
      <c r="C529" t="s">
        <v>189</v>
      </c>
      <c r="D529">
        <v>2</v>
      </c>
      <c r="E529" s="7" t="s">
        <v>21</v>
      </c>
      <c r="F529">
        <v>16</v>
      </c>
      <c r="G529" t="s">
        <v>192</v>
      </c>
      <c r="H529" s="13"/>
      <c r="I529" s="13"/>
      <c r="J529" s="7">
        <v>7.1669999999999998</v>
      </c>
      <c r="K529">
        <v>1.8660000000000001</v>
      </c>
      <c r="L529">
        <v>2.93</v>
      </c>
      <c r="M529">
        <v>2.79</v>
      </c>
      <c r="N529">
        <v>3.28</v>
      </c>
      <c r="O529">
        <v>3.57</v>
      </c>
      <c r="P529">
        <f t="shared" si="8"/>
        <v>3.1425000000000001</v>
      </c>
      <c r="Q529">
        <v>3.5157925528480891E-2</v>
      </c>
      <c r="R529">
        <v>0.1124141926588413</v>
      </c>
      <c r="S529">
        <v>0.81956031347079938</v>
      </c>
      <c r="T529">
        <v>0.87706606274028842</v>
      </c>
      <c r="U529">
        <v>0.94917885420910708</v>
      </c>
      <c r="V529">
        <v>5.696769328958818E-2</v>
      </c>
      <c r="W529">
        <v>509</v>
      </c>
      <c r="X529">
        <v>663</v>
      </c>
      <c r="Y529">
        <v>0.82252588931770954</v>
      </c>
      <c r="Z529">
        <v>8.4850423577536402E-2</v>
      </c>
      <c r="AB529">
        <v>19.059267730234616</v>
      </c>
      <c r="AC529">
        <v>17.059110507912898</v>
      </c>
      <c r="AD529">
        <v>17.972493205326636</v>
      </c>
      <c r="AE529" t="s">
        <v>226</v>
      </c>
    </row>
    <row r="530" spans="1:32" x14ac:dyDescent="0.3">
      <c r="A530">
        <v>528</v>
      </c>
      <c r="B530" t="s">
        <v>229</v>
      </c>
      <c r="C530" t="s">
        <v>189</v>
      </c>
      <c r="D530">
        <v>3</v>
      </c>
      <c r="E530" s="7" t="s">
        <v>21</v>
      </c>
      <c r="F530">
        <v>2</v>
      </c>
      <c r="G530" t="s">
        <v>26</v>
      </c>
      <c r="H530" s="13"/>
      <c r="I530" s="13"/>
      <c r="J530" s="7">
        <v>2.0699999999999998</v>
      </c>
      <c r="K530">
        <v>0.56599999999999995</v>
      </c>
      <c r="L530">
        <v>1</v>
      </c>
      <c r="M530">
        <v>1.33</v>
      </c>
      <c r="N530">
        <v>1.45</v>
      </c>
      <c r="O530">
        <v>1.58</v>
      </c>
      <c r="P530">
        <f t="shared" si="8"/>
        <v>1.34</v>
      </c>
      <c r="Q530">
        <v>3.8772275401713956E-2</v>
      </c>
      <c r="R530">
        <v>5.2374735015523262E-2</v>
      </c>
      <c r="S530">
        <v>0.72471705417294541</v>
      </c>
      <c r="T530">
        <v>0.94520708333114012</v>
      </c>
      <c r="U530">
        <v>1.2808781612874556</v>
      </c>
      <c r="V530">
        <v>2.4473032447940919E-2</v>
      </c>
      <c r="W530">
        <v>426</v>
      </c>
      <c r="X530">
        <v>649</v>
      </c>
      <c r="Y530">
        <v>0.7027331763362592</v>
      </c>
      <c r="Z530">
        <v>0.15320954274903315</v>
      </c>
      <c r="AB530">
        <v>36.076428441541552</v>
      </c>
      <c r="AC530">
        <v>32.290386653589692</v>
      </c>
      <c r="AD530">
        <v>25.209569207685991</v>
      </c>
      <c r="AE530" s="7" t="s">
        <v>226</v>
      </c>
    </row>
    <row r="531" spans="1:32" x14ac:dyDescent="0.3">
      <c r="A531">
        <v>529</v>
      </c>
      <c r="B531" t="s">
        <v>229</v>
      </c>
      <c r="C531" t="s">
        <v>189</v>
      </c>
      <c r="D531">
        <v>3</v>
      </c>
      <c r="E531" s="7" t="s">
        <v>21</v>
      </c>
      <c r="F531">
        <v>5</v>
      </c>
      <c r="G531" t="s">
        <v>23</v>
      </c>
      <c r="H531" s="13"/>
      <c r="I531" s="13"/>
      <c r="J531">
        <v>0.69199999999999995</v>
      </c>
      <c r="K531">
        <v>0.24399999999999999</v>
      </c>
      <c r="L531">
        <v>2.23</v>
      </c>
      <c r="M531">
        <v>1.97</v>
      </c>
      <c r="N531">
        <v>2.2200000000000002</v>
      </c>
      <c r="O531">
        <v>2.09</v>
      </c>
      <c r="P531">
        <f t="shared" si="8"/>
        <v>2.1274999999999999</v>
      </c>
      <c r="Q531">
        <v>3.5560202732803629E-2</v>
      </c>
      <c r="R531">
        <v>3.348525401560646E-2</v>
      </c>
      <c r="S531">
        <v>0.63217955053105035</v>
      </c>
      <c r="T531">
        <v>0.87937072646775472</v>
      </c>
      <c r="U531">
        <v>1.4751464022031557</v>
      </c>
      <c r="V531">
        <v>5.5827995783774259E-2</v>
      </c>
      <c r="W531">
        <v>461</v>
      </c>
      <c r="X531">
        <v>684</v>
      </c>
      <c r="Y531">
        <v>0.72175797019270638</v>
      </c>
      <c r="Z531">
        <v>0.14160841161544382</v>
      </c>
      <c r="AB531">
        <v>32.816626001698992</v>
      </c>
      <c r="AC531">
        <v>29.372704094884121</v>
      </c>
      <c r="AD531">
        <v>19.911721338990827</v>
      </c>
      <c r="AE531" t="s">
        <v>226</v>
      </c>
    </row>
    <row r="532" spans="1:32" x14ac:dyDescent="0.3">
      <c r="A532">
        <v>530</v>
      </c>
      <c r="B532" t="s">
        <v>229</v>
      </c>
      <c r="C532" t="s">
        <v>189</v>
      </c>
      <c r="D532">
        <v>3</v>
      </c>
      <c r="E532" s="7" t="s">
        <v>21</v>
      </c>
      <c r="F532">
        <v>8</v>
      </c>
      <c r="G532" t="s">
        <v>27</v>
      </c>
      <c r="H532" s="13"/>
      <c r="I532" s="13"/>
      <c r="J532" s="7">
        <v>0.88400000000000001</v>
      </c>
      <c r="K532">
        <v>0.28599999999999998</v>
      </c>
      <c r="L532">
        <v>2.09</v>
      </c>
      <c r="M532">
        <v>2.08</v>
      </c>
      <c r="N532">
        <v>2.12</v>
      </c>
      <c r="O532">
        <v>2.48</v>
      </c>
      <c r="P532">
        <f t="shared" si="8"/>
        <v>2.1924999999999999</v>
      </c>
      <c r="Q532">
        <v>9.5405421966058529E-2</v>
      </c>
      <c r="R532">
        <v>0.1078061836600013</v>
      </c>
      <c r="S532">
        <v>0.87169641648387963</v>
      </c>
      <c r="T532">
        <v>0.6408965101611146</v>
      </c>
      <c r="U532">
        <v>0.96735632771704128</v>
      </c>
      <c r="V532">
        <v>0.19321209324960012</v>
      </c>
      <c r="W532">
        <v>504</v>
      </c>
      <c r="X532">
        <v>578</v>
      </c>
      <c r="Y532">
        <v>0.93438855551437072</v>
      </c>
      <c r="Z532">
        <v>2.9472489481884551E-2</v>
      </c>
      <c r="AB532">
        <v>9.143245149001503</v>
      </c>
      <c r="AC532">
        <v>8.1835656851796799</v>
      </c>
      <c r="AD532">
        <v>8.4597220803763964</v>
      </c>
      <c r="AE532" s="7" t="s">
        <v>226</v>
      </c>
    </row>
    <row r="533" spans="1:32" x14ac:dyDescent="0.3">
      <c r="A533">
        <v>531</v>
      </c>
      <c r="B533" t="s">
        <v>229</v>
      </c>
      <c r="C533" t="s">
        <v>189</v>
      </c>
      <c r="D533">
        <v>3</v>
      </c>
      <c r="E533" s="7" t="s">
        <v>21</v>
      </c>
      <c r="F533">
        <v>9</v>
      </c>
      <c r="G533" t="s">
        <v>25</v>
      </c>
      <c r="H533" s="13"/>
      <c r="I533" s="13"/>
      <c r="J533" s="7">
        <v>0.91100000000000003</v>
      </c>
      <c r="K533">
        <v>0.186</v>
      </c>
      <c r="L533">
        <v>1.23</v>
      </c>
      <c r="M533">
        <v>1.24</v>
      </c>
      <c r="N533">
        <v>1.25</v>
      </c>
      <c r="O533">
        <v>1.25</v>
      </c>
      <c r="P533">
        <f t="shared" si="8"/>
        <v>1.2424999999999999</v>
      </c>
      <c r="Q533">
        <v>4.7781150958805911E-2</v>
      </c>
      <c r="R533">
        <v>8.6576101353619997E-2</v>
      </c>
      <c r="S533">
        <v>0.69233413205568572</v>
      </c>
      <c r="T533">
        <v>0.84948156045185608</v>
      </c>
      <c r="U533">
        <v>1.062601974987772</v>
      </c>
      <c r="V533">
        <v>7.0846043847229076E-2</v>
      </c>
      <c r="W533">
        <v>561</v>
      </c>
      <c r="X533">
        <v>772</v>
      </c>
      <c r="Y533">
        <v>0.77867644302497319</v>
      </c>
      <c r="Z533">
        <v>0.10864296363570614</v>
      </c>
      <c r="AB533">
        <v>24.383325498075713</v>
      </c>
      <c r="AC533">
        <v>21.824455523533675</v>
      </c>
      <c r="AD533">
        <v>20.538692791141127</v>
      </c>
      <c r="AE533" t="s">
        <v>226</v>
      </c>
    </row>
    <row r="534" spans="1:32" x14ac:dyDescent="0.3">
      <c r="A534">
        <v>532</v>
      </c>
      <c r="B534" t="s">
        <v>229</v>
      </c>
      <c r="C534" t="s">
        <v>189</v>
      </c>
      <c r="D534">
        <v>3</v>
      </c>
      <c r="E534" s="7" t="s">
        <v>21</v>
      </c>
      <c r="F534">
        <v>10</v>
      </c>
      <c r="G534" t="s">
        <v>24</v>
      </c>
      <c r="H534" s="13"/>
      <c r="I534" s="13"/>
      <c r="J534" s="7">
        <v>2.2280000000000002</v>
      </c>
      <c r="K534">
        <v>1</v>
      </c>
      <c r="L534">
        <v>3.62</v>
      </c>
      <c r="M534">
        <v>4.74</v>
      </c>
      <c r="N534">
        <v>4.62</v>
      </c>
      <c r="O534">
        <v>3.73</v>
      </c>
      <c r="P534">
        <f t="shared" si="8"/>
        <v>4.1775000000000002</v>
      </c>
      <c r="Q534">
        <v>4.3014403305659372E-2</v>
      </c>
      <c r="R534">
        <v>6.1650231165179634E-2</v>
      </c>
      <c r="S534">
        <v>0.79687807145841116</v>
      </c>
      <c r="T534">
        <v>0.7758626053847143</v>
      </c>
      <c r="U534">
        <v>1.2100652906242315</v>
      </c>
      <c r="V534">
        <v>0.11021517952311867</v>
      </c>
      <c r="W534">
        <v>545</v>
      </c>
      <c r="X534">
        <v>685</v>
      </c>
      <c r="Y534">
        <v>0.85259608558969679</v>
      </c>
      <c r="Z534">
        <v>6.925666560244173E-2</v>
      </c>
      <c r="AB534">
        <v>15.916691737916082</v>
      </c>
      <c r="AC534">
        <v>14.246303098524253</v>
      </c>
      <c r="AD534">
        <v>11.773168942954367</v>
      </c>
      <c r="AE534" s="7" t="s">
        <v>226</v>
      </c>
    </row>
    <row r="535" spans="1:32" x14ac:dyDescent="0.3">
      <c r="A535">
        <v>533</v>
      </c>
      <c r="B535" t="s">
        <v>229</v>
      </c>
      <c r="C535" t="s">
        <v>189</v>
      </c>
      <c r="D535">
        <v>3</v>
      </c>
      <c r="E535" s="7" t="s">
        <v>21</v>
      </c>
      <c r="F535">
        <v>16</v>
      </c>
      <c r="G535" t="s">
        <v>192</v>
      </c>
      <c r="H535" s="13"/>
      <c r="I535" s="13"/>
      <c r="J535" s="7">
        <v>3.5219999999999998</v>
      </c>
      <c r="K535">
        <v>1.02</v>
      </c>
      <c r="L535">
        <v>2.15</v>
      </c>
      <c r="M535">
        <v>2.25</v>
      </c>
      <c r="N535">
        <v>2.25</v>
      </c>
      <c r="O535">
        <v>2.35</v>
      </c>
      <c r="P535">
        <f t="shared" si="8"/>
        <v>2.25</v>
      </c>
      <c r="Q535">
        <v>2.9444383215183501E-2</v>
      </c>
      <c r="R535">
        <v>8.5199853628897329E-2</v>
      </c>
      <c r="S535">
        <v>0.76627599498151366</v>
      </c>
      <c r="T535">
        <v>0.87542850873916922</v>
      </c>
      <c r="U535">
        <v>1.069561151339131</v>
      </c>
      <c r="V535">
        <v>5.7779314489519493E-2</v>
      </c>
      <c r="W535">
        <v>477</v>
      </c>
      <c r="X535">
        <v>635</v>
      </c>
      <c r="Y535">
        <v>0.80464433544246095</v>
      </c>
      <c r="Z535">
        <v>9.4396041728038574E-2</v>
      </c>
      <c r="AB535">
        <v>21.118491662314941</v>
      </c>
      <c r="AC535">
        <v>18.902240864989082</v>
      </c>
      <c r="AD535">
        <v>17.672894010148706</v>
      </c>
      <c r="AE535" t="s">
        <v>226</v>
      </c>
    </row>
    <row r="536" spans="1:32" x14ac:dyDescent="0.3">
      <c r="A536">
        <v>534</v>
      </c>
      <c r="B536" t="s">
        <v>229</v>
      </c>
      <c r="C536" t="s">
        <v>189</v>
      </c>
      <c r="D536">
        <v>4</v>
      </c>
      <c r="E536" s="7" t="s">
        <v>21</v>
      </c>
      <c r="F536">
        <v>2</v>
      </c>
      <c r="G536" t="s">
        <v>24</v>
      </c>
      <c r="H536" s="13"/>
      <c r="I536" s="13"/>
      <c r="J536" s="7">
        <v>2.2149999999999999</v>
      </c>
      <c r="K536">
        <v>0.87</v>
      </c>
      <c r="L536">
        <v>4.62</v>
      </c>
      <c r="M536">
        <v>5.61</v>
      </c>
      <c r="N536">
        <v>5.24</v>
      </c>
      <c r="O536">
        <v>6.03</v>
      </c>
      <c r="P536">
        <f t="shared" si="8"/>
        <v>5.375</v>
      </c>
      <c r="Q536">
        <v>3.8756342681187252E-2</v>
      </c>
      <c r="R536">
        <v>5.79624854073068E-2</v>
      </c>
      <c r="S536">
        <v>0.85365174544201594</v>
      </c>
      <c r="T536">
        <v>0.7982472843536299</v>
      </c>
      <c r="U536">
        <v>1.2368530004345377</v>
      </c>
      <c r="V536">
        <v>9.786255026078744E-2</v>
      </c>
      <c r="W536">
        <v>578</v>
      </c>
      <c r="X536">
        <v>673</v>
      </c>
      <c r="Y536">
        <v>0.92056151940544995</v>
      </c>
      <c r="Z536">
        <v>3.5947183101785699E-2</v>
      </c>
      <c r="AB536">
        <v>10.123800339325916</v>
      </c>
      <c r="AC536">
        <v>9.0612431834845761</v>
      </c>
      <c r="AD536">
        <v>7.326046975914787</v>
      </c>
      <c r="AE536" s="7" t="s">
        <v>226</v>
      </c>
    </row>
    <row r="537" spans="1:32" s="6" customFormat="1" x14ac:dyDescent="0.3">
      <c r="A537" s="6">
        <v>535</v>
      </c>
      <c r="B537" s="6" t="s">
        <v>229</v>
      </c>
      <c r="C537" s="6" t="s">
        <v>189</v>
      </c>
      <c r="D537" s="6">
        <v>4</v>
      </c>
      <c r="E537" s="6" t="s">
        <v>21</v>
      </c>
      <c r="F537" s="6">
        <v>3</v>
      </c>
      <c r="G537" s="6" t="s">
        <v>27</v>
      </c>
      <c r="H537" s="13"/>
      <c r="I537" s="13"/>
      <c r="J537" s="6" t="s">
        <v>225</v>
      </c>
      <c r="K537" s="6" t="s">
        <v>225</v>
      </c>
      <c r="L537" s="6" t="s">
        <v>225</v>
      </c>
      <c r="M537" s="6" t="s">
        <v>225</v>
      </c>
      <c r="N537" s="6" t="s">
        <v>225</v>
      </c>
      <c r="O537" s="6" t="s">
        <v>225</v>
      </c>
      <c r="P537" t="s">
        <v>225</v>
      </c>
      <c r="Q537" s="6">
        <v>2.3866674281168784E-2</v>
      </c>
      <c r="R537" s="6">
        <v>4.978383991269611E-2</v>
      </c>
      <c r="S537" s="6">
        <v>0.68822301090387772</v>
      </c>
      <c r="T537" s="6">
        <v>0.89584880334687467</v>
      </c>
      <c r="U537" s="6">
        <v>1.3029116085595107</v>
      </c>
      <c r="V537" s="6">
        <v>4.7765282093482499E-2</v>
      </c>
      <c r="W537" s="6">
        <v>410</v>
      </c>
      <c r="X537" s="6">
        <v>568</v>
      </c>
      <c r="Y537" s="6">
        <v>0.77281707801939004</v>
      </c>
      <c r="Z537" s="6">
        <v>0.11192328927419916</v>
      </c>
      <c r="AB537" s="6">
        <v>25.167515661908983</v>
      </c>
      <c r="AC537" s="6">
        <v>22.526349416319185</v>
      </c>
      <c r="AD537" s="6">
        <v>17.289238401386374</v>
      </c>
      <c r="AE537" s="6" t="s">
        <v>226</v>
      </c>
    </row>
    <row r="538" spans="1:32" x14ac:dyDescent="0.3">
      <c r="A538">
        <v>536</v>
      </c>
      <c r="B538" t="s">
        <v>229</v>
      </c>
      <c r="C538" t="s">
        <v>189</v>
      </c>
      <c r="D538">
        <v>4</v>
      </c>
      <c r="E538" s="7" t="s">
        <v>21</v>
      </c>
      <c r="F538">
        <v>7</v>
      </c>
      <c r="G538" t="s">
        <v>26</v>
      </c>
      <c r="H538" s="13"/>
      <c r="I538" s="13"/>
      <c r="J538" s="7">
        <v>3.1480000000000001</v>
      </c>
      <c r="K538">
        <v>0.97499999999999998</v>
      </c>
      <c r="L538">
        <v>1.6</v>
      </c>
      <c r="M538">
        <v>1.46</v>
      </c>
      <c r="N538">
        <v>1.84</v>
      </c>
      <c r="O538">
        <v>1.41</v>
      </c>
      <c r="P538">
        <f t="shared" si="8"/>
        <v>1.5775000000000001</v>
      </c>
      <c r="Q538">
        <v>2.7576187866358067E-2</v>
      </c>
      <c r="R538">
        <v>7.6207819483794015E-2</v>
      </c>
      <c r="S538">
        <v>0.80593122092429381</v>
      </c>
      <c r="T538">
        <v>1.0310130266575788</v>
      </c>
      <c r="U538">
        <v>1.118000464560243</v>
      </c>
      <c r="V538">
        <v>-1.3264152548078915E-2</v>
      </c>
      <c r="W538">
        <v>449</v>
      </c>
      <c r="X538">
        <v>693</v>
      </c>
      <c r="Y538">
        <v>0.69374686758662174</v>
      </c>
      <c r="Z538">
        <v>0.15879896479599373</v>
      </c>
      <c r="AB538">
        <v>37.701261696344908</v>
      </c>
      <c r="AC538">
        <v>33.744689743388903</v>
      </c>
      <c r="AD538">
        <v>30.183073096183481</v>
      </c>
      <c r="AE538" s="7" t="s">
        <v>226</v>
      </c>
    </row>
    <row r="539" spans="1:32" x14ac:dyDescent="0.3">
      <c r="A539">
        <v>537</v>
      </c>
      <c r="B539" t="s">
        <v>229</v>
      </c>
      <c r="C539" t="s">
        <v>189</v>
      </c>
      <c r="D539">
        <v>4</v>
      </c>
      <c r="E539" s="7" t="s">
        <v>21</v>
      </c>
      <c r="F539">
        <v>6</v>
      </c>
      <c r="G539" t="s">
        <v>28</v>
      </c>
      <c r="H539" s="13"/>
      <c r="I539" s="13"/>
      <c r="J539" s="7">
        <v>1.1339999999999999</v>
      </c>
      <c r="K539">
        <v>0.41699999999999998</v>
      </c>
      <c r="L539">
        <v>3.36</v>
      </c>
      <c r="M539">
        <v>3.69</v>
      </c>
      <c r="N539">
        <v>3.57</v>
      </c>
      <c r="O539">
        <v>3.09</v>
      </c>
      <c r="P539">
        <f t="shared" si="8"/>
        <v>3.4274999999999998</v>
      </c>
      <c r="Q539">
        <v>5.8408062459677466E-2</v>
      </c>
      <c r="R539">
        <v>3.8538016130493367E-2</v>
      </c>
      <c r="S539">
        <v>0.71288565285936922</v>
      </c>
      <c r="T539">
        <v>0.73610010165862694</v>
      </c>
      <c r="U539">
        <v>1.4141106458236787</v>
      </c>
      <c r="V539">
        <v>0.13306312229039882</v>
      </c>
      <c r="W539">
        <v>548</v>
      </c>
      <c r="X539">
        <v>605</v>
      </c>
      <c r="Y539">
        <v>0.97085709910806561</v>
      </c>
      <c r="Z539">
        <v>1.2844689387567085E-2</v>
      </c>
      <c r="AB539">
        <v>6.8419938411990566</v>
      </c>
      <c r="AC539">
        <v>6.1237409249511376</v>
      </c>
      <c r="AD539">
        <v>4.330453874338974</v>
      </c>
      <c r="AE539" t="s">
        <v>226</v>
      </c>
    </row>
    <row r="540" spans="1:32" x14ac:dyDescent="0.3">
      <c r="A540">
        <v>538</v>
      </c>
      <c r="B540" t="s">
        <v>229</v>
      </c>
      <c r="C540" t="s">
        <v>189</v>
      </c>
      <c r="D540">
        <v>4</v>
      </c>
      <c r="E540" s="7" t="s">
        <v>21</v>
      </c>
      <c r="F540">
        <v>9</v>
      </c>
      <c r="G540" t="s">
        <v>23</v>
      </c>
      <c r="H540" s="13"/>
      <c r="I540" s="13"/>
      <c r="J540" s="7">
        <v>0.61299999999999999</v>
      </c>
      <c r="K540">
        <v>0.19800000000000001</v>
      </c>
      <c r="L540">
        <v>2.59</v>
      </c>
      <c r="M540">
        <v>2.94</v>
      </c>
      <c r="N540">
        <v>2.4500000000000002</v>
      </c>
      <c r="O540">
        <v>1.85</v>
      </c>
      <c r="P540">
        <f t="shared" si="8"/>
        <v>2.4575</v>
      </c>
      <c r="Q540">
        <v>4.4057846308222459E-2</v>
      </c>
      <c r="R540">
        <v>4.6301930613038431E-2</v>
      </c>
      <c r="S540">
        <v>0.63076496986348651</v>
      </c>
      <c r="T540">
        <v>0.96279379312739322</v>
      </c>
      <c r="U540">
        <v>1.3344009001891988</v>
      </c>
      <c r="V540">
        <v>1.646671816768884E-2</v>
      </c>
      <c r="W540">
        <v>373</v>
      </c>
      <c r="X540">
        <v>604</v>
      </c>
      <c r="Y540">
        <v>0.66077895685349741</v>
      </c>
      <c r="Z540">
        <v>0.17994379599627791</v>
      </c>
      <c r="AB540">
        <v>44.167251006170545</v>
      </c>
      <c r="AC540">
        <v>39.532045879750513</v>
      </c>
      <c r="AD540">
        <v>29.625314157196268</v>
      </c>
      <c r="AE540" s="7" t="s">
        <v>226</v>
      </c>
    </row>
    <row r="541" spans="1:32" x14ac:dyDescent="0.3">
      <c r="A541">
        <v>539</v>
      </c>
      <c r="B541" t="s">
        <v>229</v>
      </c>
      <c r="C541" t="s">
        <v>189</v>
      </c>
      <c r="D541">
        <v>4</v>
      </c>
      <c r="E541" s="7" t="s">
        <v>21</v>
      </c>
      <c r="F541">
        <v>11</v>
      </c>
      <c r="G541" t="s">
        <v>22</v>
      </c>
      <c r="H541" s="13"/>
      <c r="I541" s="13"/>
      <c r="J541" s="7">
        <v>3.03</v>
      </c>
      <c r="K541">
        <v>1.1599999999999999</v>
      </c>
      <c r="L541">
        <v>4.17</v>
      </c>
      <c r="M541">
        <v>4.9800000000000004</v>
      </c>
      <c r="N541">
        <v>4.82</v>
      </c>
      <c r="O541">
        <v>4.25</v>
      </c>
      <c r="P541">
        <f t="shared" si="8"/>
        <v>4.5549999999999997</v>
      </c>
      <c r="Q541">
        <v>3.2518682594985894E-2</v>
      </c>
      <c r="R541">
        <v>0.10194368065521493</v>
      </c>
      <c r="S541">
        <v>0.80723434251936976</v>
      </c>
      <c r="T541">
        <v>0.83141516261943016</v>
      </c>
      <c r="U541">
        <v>0.99163969035303234</v>
      </c>
      <c r="V541">
        <v>8.0182059476300027E-2</v>
      </c>
      <c r="W541">
        <v>544</v>
      </c>
      <c r="X541">
        <v>698</v>
      </c>
      <c r="Y541">
        <v>0.83515313357825849</v>
      </c>
      <c r="Z541">
        <v>7.8233885030795008E-2</v>
      </c>
      <c r="AB541">
        <v>17.692307861900691</v>
      </c>
      <c r="AC541">
        <v>15.835595426031682</v>
      </c>
      <c r="AD541">
        <v>15.969102064071349</v>
      </c>
      <c r="AE541" t="s">
        <v>226</v>
      </c>
    </row>
    <row r="542" spans="1:32" x14ac:dyDescent="0.3">
      <c r="A542">
        <v>540</v>
      </c>
      <c r="B542" t="s">
        <v>229</v>
      </c>
      <c r="C542" t="s">
        <v>189</v>
      </c>
      <c r="D542">
        <v>4</v>
      </c>
      <c r="E542" s="7" t="s">
        <v>21</v>
      </c>
      <c r="F542">
        <v>16</v>
      </c>
      <c r="G542" t="s">
        <v>29</v>
      </c>
      <c r="H542" s="13"/>
      <c r="I542" s="13"/>
      <c r="J542" s="7">
        <v>1.347</v>
      </c>
      <c r="K542">
        <v>0.50600000000000001</v>
      </c>
      <c r="L542">
        <v>4.03</v>
      </c>
      <c r="M542">
        <v>4.26</v>
      </c>
      <c r="N542">
        <v>4.25</v>
      </c>
      <c r="O542">
        <v>3.64</v>
      </c>
      <c r="P542">
        <f t="shared" si="8"/>
        <v>4.0449999999999999</v>
      </c>
      <c r="Q542">
        <v>2.9107285849276097E-2</v>
      </c>
      <c r="R542">
        <v>5.0457232078311105E-2</v>
      </c>
      <c r="S542">
        <v>0.67301837939706133</v>
      </c>
      <c r="T542">
        <v>0.83290691117493787</v>
      </c>
      <c r="U542">
        <v>1.2970765771653865</v>
      </c>
      <c r="V542">
        <v>7.9403534274074539E-2</v>
      </c>
      <c r="W542">
        <v>533</v>
      </c>
      <c r="X542">
        <v>658</v>
      </c>
      <c r="Y542">
        <v>0.86801805368596086</v>
      </c>
      <c r="Z542">
        <v>6.1471241949484182E-2</v>
      </c>
      <c r="AB542">
        <v>14.450500851278623</v>
      </c>
      <c r="AC542">
        <v>12.933962477900762</v>
      </c>
      <c r="AD542">
        <v>9.9716259668850604</v>
      </c>
      <c r="AE542" s="7" t="s">
        <v>226</v>
      </c>
    </row>
    <row r="543" spans="1:32" x14ac:dyDescent="0.3">
      <c r="A543">
        <v>541</v>
      </c>
      <c r="B543" t="s">
        <v>230</v>
      </c>
      <c r="C543" t="s">
        <v>188</v>
      </c>
      <c r="D543">
        <v>1</v>
      </c>
      <c r="E543" s="7" t="s">
        <v>21</v>
      </c>
      <c r="F543">
        <v>1</v>
      </c>
      <c r="G543" t="s">
        <v>28</v>
      </c>
      <c r="H543" s="13"/>
      <c r="I543" s="13"/>
      <c r="J543">
        <v>0.95</v>
      </c>
      <c r="K543">
        <v>0.27600000000000002</v>
      </c>
      <c r="L543">
        <v>3.39</v>
      </c>
      <c r="M543">
        <v>3.8</v>
      </c>
      <c r="N543">
        <v>3.98</v>
      </c>
      <c r="O543">
        <v>3.38</v>
      </c>
      <c r="P543">
        <f t="shared" si="8"/>
        <v>3.6375000000000002</v>
      </c>
      <c r="Q543">
        <v>9.7177625245883886E-2</v>
      </c>
      <c r="R543">
        <v>0.39600479590583282</v>
      </c>
      <c r="S543">
        <v>0.80557847720138143</v>
      </c>
      <c r="T543">
        <v>0.93411025334610254</v>
      </c>
      <c r="U543">
        <v>0.40229955442088533</v>
      </c>
      <c r="V543">
        <v>2.9601860821380395E-2</v>
      </c>
      <c r="W543">
        <v>423</v>
      </c>
      <c r="X543">
        <v>640</v>
      </c>
      <c r="Y543">
        <v>0.70758862746162254</v>
      </c>
      <c r="Z543">
        <v>0.15021915579390438</v>
      </c>
      <c r="AB543">
        <v>35.221618223046185</v>
      </c>
      <c r="AC543">
        <v>31.525290281750113</v>
      </c>
      <c r="AD543">
        <v>78.362727314304678</v>
      </c>
      <c r="AE543" t="s">
        <v>226</v>
      </c>
      <c r="AF543" t="s">
        <v>235</v>
      </c>
    </row>
    <row r="544" spans="1:32" x14ac:dyDescent="0.3">
      <c r="A544">
        <v>542</v>
      </c>
      <c r="B544" t="s">
        <v>230</v>
      </c>
      <c r="C544" t="s">
        <v>188</v>
      </c>
      <c r="D544">
        <v>1</v>
      </c>
      <c r="E544" s="7" t="s">
        <v>21</v>
      </c>
      <c r="F544">
        <v>2</v>
      </c>
      <c r="G544" t="s">
        <v>26</v>
      </c>
      <c r="H544" s="13"/>
      <c r="I544" s="13"/>
      <c r="J544">
        <v>0.68899999999999995</v>
      </c>
      <c r="K544">
        <v>0.11700000000000001</v>
      </c>
      <c r="L544">
        <v>1.75</v>
      </c>
      <c r="M544">
        <v>1.66</v>
      </c>
      <c r="N544">
        <v>1.36</v>
      </c>
      <c r="O544">
        <v>1.58</v>
      </c>
      <c r="P544">
        <f t="shared" si="8"/>
        <v>1.5875000000000001</v>
      </c>
      <c r="Q544">
        <v>8.9182730663221813E-2</v>
      </c>
      <c r="R544">
        <v>0.30052312007283782</v>
      </c>
      <c r="S544">
        <v>0.88620275068752252</v>
      </c>
      <c r="T544">
        <v>0.93265755541854789</v>
      </c>
      <c r="U544">
        <v>0.52212211090314875</v>
      </c>
      <c r="V544">
        <v>3.0277787220153656E-2</v>
      </c>
      <c r="W544">
        <v>529</v>
      </c>
      <c r="X544">
        <v>735</v>
      </c>
      <c r="Y544">
        <v>0.77110614102786224</v>
      </c>
      <c r="Z544">
        <v>0.11288583817469637</v>
      </c>
      <c r="AB544">
        <v>25.399927588324921</v>
      </c>
      <c r="AC544">
        <v>22.734370935210841</v>
      </c>
      <c r="AD544">
        <v>43.542248949935704</v>
      </c>
      <c r="AE544" s="7" t="s">
        <v>226</v>
      </c>
      <c r="AF544" t="s">
        <v>235</v>
      </c>
    </row>
    <row r="545" spans="1:32" x14ac:dyDescent="0.3">
      <c r="A545">
        <v>543</v>
      </c>
      <c r="B545" t="s">
        <v>230</v>
      </c>
      <c r="C545" t="s">
        <v>188</v>
      </c>
      <c r="D545">
        <v>1</v>
      </c>
      <c r="E545" s="7" t="s">
        <v>21</v>
      </c>
      <c r="F545">
        <v>6</v>
      </c>
      <c r="G545" t="s">
        <v>24</v>
      </c>
      <c r="H545" s="13"/>
      <c r="I545" s="13"/>
      <c r="J545">
        <v>0.86799999999999999</v>
      </c>
      <c r="K545">
        <v>0.21299999999999999</v>
      </c>
      <c r="L545">
        <v>2.76</v>
      </c>
      <c r="M545">
        <v>2.84</v>
      </c>
      <c r="N545">
        <v>1.98</v>
      </c>
      <c r="O545">
        <v>2.2000000000000002</v>
      </c>
      <c r="P545">
        <f t="shared" si="8"/>
        <v>2.4450000000000003</v>
      </c>
      <c r="Q545">
        <v>4.9566491665576341E-2</v>
      </c>
      <c r="R545">
        <v>0.59715612323005252</v>
      </c>
      <c r="S545">
        <v>1.0812880182076503</v>
      </c>
      <c r="T545">
        <v>0.84184973871902891</v>
      </c>
      <c r="U545">
        <v>0.22391211008819692</v>
      </c>
      <c r="V545">
        <v>7.4765418558216223E-2</v>
      </c>
      <c r="W545">
        <v>648</v>
      </c>
      <c r="X545">
        <v>785</v>
      </c>
      <c r="Y545">
        <v>0.88494455585702492</v>
      </c>
      <c r="Z545">
        <v>5.3083938160526797E-2</v>
      </c>
      <c r="AB545">
        <v>12.947562579403122</v>
      </c>
      <c r="AC545">
        <v>11.58872599604195</v>
      </c>
      <c r="AD545">
        <v>51.755691067701775</v>
      </c>
      <c r="AE545" t="s">
        <v>226</v>
      </c>
      <c r="AF545" t="s">
        <v>235</v>
      </c>
    </row>
    <row r="546" spans="1:32" x14ac:dyDescent="0.3">
      <c r="A546">
        <v>544</v>
      </c>
      <c r="B546" t="s">
        <v>230</v>
      </c>
      <c r="C546" t="s">
        <v>188</v>
      </c>
      <c r="D546">
        <v>1</v>
      </c>
      <c r="E546" s="7" t="s">
        <v>21</v>
      </c>
      <c r="F546">
        <v>14</v>
      </c>
      <c r="G546" t="s">
        <v>23</v>
      </c>
      <c r="H546" s="13"/>
      <c r="I546" s="13"/>
      <c r="J546">
        <v>0.248</v>
      </c>
      <c r="K546">
        <v>4.2000000000000003E-2</v>
      </c>
      <c r="L546">
        <v>1.6</v>
      </c>
      <c r="M546">
        <v>1.52</v>
      </c>
      <c r="N546">
        <v>1.35</v>
      </c>
      <c r="O546">
        <v>1.68</v>
      </c>
      <c r="P546">
        <f t="shared" si="8"/>
        <v>1.5375000000000001</v>
      </c>
      <c r="Q546">
        <v>6.0771493642410981E-2</v>
      </c>
      <c r="R546">
        <v>0.38951782595814527</v>
      </c>
      <c r="S546">
        <v>0.91105094215331706</v>
      </c>
      <c r="T546">
        <v>0.92204175937327726</v>
      </c>
      <c r="U546">
        <v>0.40947266241219243</v>
      </c>
      <c r="V546">
        <v>3.5249409255819514E-2</v>
      </c>
      <c r="W546">
        <v>500</v>
      </c>
      <c r="X546">
        <v>718</v>
      </c>
      <c r="Y546">
        <v>0.74595012939270078</v>
      </c>
      <c r="Z546">
        <v>0.12729020637925506</v>
      </c>
      <c r="AB546">
        <v>29.002930728027998</v>
      </c>
      <c r="AC546">
        <v>25.95925220831667</v>
      </c>
      <c r="AD546">
        <v>63.39678955706448</v>
      </c>
      <c r="AE546" s="7" t="s">
        <v>226</v>
      </c>
      <c r="AF546" t="s">
        <v>235</v>
      </c>
    </row>
    <row r="547" spans="1:32" x14ac:dyDescent="0.3">
      <c r="A547">
        <v>545</v>
      </c>
      <c r="B547" t="s">
        <v>230</v>
      </c>
      <c r="C547" t="s">
        <v>188</v>
      </c>
      <c r="D547">
        <v>1</v>
      </c>
      <c r="E547" s="7" t="s">
        <v>21</v>
      </c>
      <c r="F547">
        <v>16</v>
      </c>
      <c r="G547" t="s">
        <v>29</v>
      </c>
      <c r="H547" s="13"/>
      <c r="I547" s="13"/>
      <c r="J547">
        <v>1.1950000000000001</v>
      </c>
      <c r="K547">
        <v>0.32500000000000001</v>
      </c>
      <c r="L547">
        <v>3.15</v>
      </c>
      <c r="M547">
        <v>2.31</v>
      </c>
      <c r="N547">
        <v>3.54</v>
      </c>
      <c r="O547">
        <v>2.72</v>
      </c>
      <c r="P547">
        <f t="shared" si="8"/>
        <v>2.93</v>
      </c>
      <c r="Q547">
        <v>8.4585345354770997E-2</v>
      </c>
      <c r="R547">
        <v>0.46227267920339427</v>
      </c>
      <c r="S547">
        <v>0.84750011506816603</v>
      </c>
      <c r="T547">
        <v>0.86226468203097151</v>
      </c>
      <c r="U547">
        <v>0.33510177305948502</v>
      </c>
      <c r="V547">
        <v>6.4359402039437477E-2</v>
      </c>
      <c r="W547">
        <v>562</v>
      </c>
      <c r="X547">
        <v>764</v>
      </c>
      <c r="Y547">
        <v>0.78824839582118045</v>
      </c>
      <c r="Z547">
        <v>0.10333690441985252</v>
      </c>
      <c r="AB547">
        <v>23.140594800328401</v>
      </c>
      <c r="AC547">
        <v>20.712141124750787</v>
      </c>
      <c r="AD547">
        <v>61.808509503392294</v>
      </c>
      <c r="AE547" t="s">
        <v>226</v>
      </c>
      <c r="AF547" t="s">
        <v>235</v>
      </c>
    </row>
    <row r="548" spans="1:32" x14ac:dyDescent="0.3">
      <c r="A548">
        <v>546</v>
      </c>
      <c r="B548" t="s">
        <v>230</v>
      </c>
      <c r="C548" t="s">
        <v>188</v>
      </c>
      <c r="D548">
        <v>2</v>
      </c>
      <c r="E548" s="7" t="s">
        <v>21</v>
      </c>
      <c r="F548">
        <v>2</v>
      </c>
      <c r="G548" t="s">
        <v>29</v>
      </c>
      <c r="H548" s="13"/>
      <c r="I548" s="13"/>
      <c r="J548">
        <v>0.65</v>
      </c>
      <c r="K548">
        <v>0.17699999999999999</v>
      </c>
      <c r="L548">
        <v>2.2999999999999998</v>
      </c>
      <c r="M548">
        <v>2.37</v>
      </c>
      <c r="N548">
        <v>2.17</v>
      </c>
      <c r="O548">
        <v>1.97</v>
      </c>
      <c r="P548">
        <f t="shared" si="8"/>
        <v>2.2025000000000001</v>
      </c>
      <c r="Q548">
        <v>0.10818169390328906</v>
      </c>
      <c r="R548">
        <v>0.58898093211370472</v>
      </c>
      <c r="S548">
        <v>0.84476297130106048</v>
      </c>
      <c r="T548">
        <v>0.95946313199756883</v>
      </c>
      <c r="U548">
        <v>0.22989876499531853</v>
      </c>
      <c r="V548">
        <v>1.7971708659242646E-2</v>
      </c>
      <c r="W548">
        <v>493</v>
      </c>
      <c r="X548">
        <v>738</v>
      </c>
      <c r="Y548">
        <v>0.71550654504670541</v>
      </c>
      <c r="Z548">
        <v>0.14538638920725552</v>
      </c>
      <c r="AB548">
        <v>33.861509428119327</v>
      </c>
      <c r="AC548">
        <v>30.307926496894982</v>
      </c>
      <c r="AD548">
        <v>131.8316194413317</v>
      </c>
      <c r="AE548" s="7" t="s">
        <v>226</v>
      </c>
      <c r="AF548" t="s">
        <v>235</v>
      </c>
    </row>
    <row r="549" spans="1:32" x14ac:dyDescent="0.3">
      <c r="A549">
        <v>547</v>
      </c>
      <c r="B549" t="s">
        <v>230</v>
      </c>
      <c r="C549" t="s">
        <v>188</v>
      </c>
      <c r="D549">
        <v>2</v>
      </c>
      <c r="E549" s="7" t="s">
        <v>21</v>
      </c>
      <c r="F549">
        <v>8</v>
      </c>
      <c r="G549" t="s">
        <v>25</v>
      </c>
      <c r="H549" s="13"/>
      <c r="I549" s="13"/>
      <c r="J549">
        <v>1.673</v>
      </c>
      <c r="K549">
        <v>0.22900000000000001</v>
      </c>
      <c r="L549">
        <v>1.79</v>
      </c>
      <c r="M549">
        <v>1.34</v>
      </c>
      <c r="N549">
        <v>1.64</v>
      </c>
      <c r="O549">
        <v>1.29</v>
      </c>
      <c r="P549">
        <f t="shared" si="8"/>
        <v>1.5149999999999999</v>
      </c>
      <c r="Q549">
        <v>0.22567051734279231</v>
      </c>
      <c r="R549">
        <v>0.38047335780883162</v>
      </c>
      <c r="S549">
        <v>0.88909330941124687</v>
      </c>
      <c r="T549">
        <v>0.93981352629523507</v>
      </c>
      <c r="U549">
        <v>0.41967574877963165</v>
      </c>
      <c r="V549">
        <v>2.6958308671326956E-2</v>
      </c>
      <c r="W549">
        <v>549</v>
      </c>
      <c r="X549">
        <v>771</v>
      </c>
      <c r="Y549">
        <v>0.76295022896178954</v>
      </c>
      <c r="Z549">
        <v>0.11750379231022362</v>
      </c>
      <c r="AB549">
        <v>26.529507296775158</v>
      </c>
      <c r="AC549">
        <v>23.745406543439341</v>
      </c>
      <c r="AD549">
        <v>56.580363798690357</v>
      </c>
      <c r="AE549" t="s">
        <v>226</v>
      </c>
      <c r="AF549" t="s">
        <v>235</v>
      </c>
    </row>
    <row r="550" spans="1:32" x14ac:dyDescent="0.3">
      <c r="A550">
        <v>548</v>
      </c>
      <c r="B550" t="s">
        <v>230</v>
      </c>
      <c r="C550" t="s">
        <v>188</v>
      </c>
      <c r="D550">
        <v>2</v>
      </c>
      <c r="E550" s="7" t="s">
        <v>21</v>
      </c>
      <c r="F550">
        <v>9</v>
      </c>
      <c r="G550" t="s">
        <v>28</v>
      </c>
      <c r="H550" s="13"/>
      <c r="I550" s="13"/>
      <c r="J550">
        <v>1.4179999999999999</v>
      </c>
      <c r="K550">
        <v>0.38900000000000001</v>
      </c>
      <c r="L550">
        <v>7.33</v>
      </c>
      <c r="M550">
        <v>7.5</v>
      </c>
      <c r="N550">
        <v>5.88</v>
      </c>
      <c r="O550">
        <v>6.31</v>
      </c>
      <c r="P550">
        <f t="shared" si="8"/>
        <v>6.7549999999999999</v>
      </c>
      <c r="Q550">
        <v>0.19083521313313009</v>
      </c>
      <c r="R550">
        <v>0.31603831021220458</v>
      </c>
      <c r="S550">
        <v>0.84070587294141619</v>
      </c>
      <c r="T550">
        <v>0.90902741258205189</v>
      </c>
      <c r="U550">
        <v>0.50026026894711828</v>
      </c>
      <c r="V550">
        <v>4.1423020019382632E-2</v>
      </c>
      <c r="W550">
        <v>383</v>
      </c>
      <c r="X550">
        <v>598</v>
      </c>
      <c r="Y550">
        <v>0.68540970749702268</v>
      </c>
      <c r="Z550">
        <v>0.16404974892492225</v>
      </c>
      <c r="AB550">
        <v>39.25979724428754</v>
      </c>
      <c r="AC550">
        <v>35.139652020493344</v>
      </c>
      <c r="AD550">
        <v>70.242740033004495</v>
      </c>
      <c r="AE550" s="7" t="s">
        <v>226</v>
      </c>
      <c r="AF550" t="s">
        <v>235</v>
      </c>
    </row>
    <row r="551" spans="1:32" x14ac:dyDescent="0.3">
      <c r="A551">
        <v>549</v>
      </c>
      <c r="B551" t="s">
        <v>230</v>
      </c>
      <c r="C551" t="s">
        <v>188</v>
      </c>
      <c r="D551">
        <v>2</v>
      </c>
      <c r="E551" s="7" t="s">
        <v>21</v>
      </c>
      <c r="F551">
        <v>14</v>
      </c>
      <c r="G551" t="s">
        <v>27</v>
      </c>
      <c r="H551" s="13"/>
      <c r="I551" s="13"/>
      <c r="J551">
        <v>0.48</v>
      </c>
      <c r="K551">
        <v>5.3999999999999999E-2</v>
      </c>
      <c r="L551">
        <v>0.81</v>
      </c>
      <c r="M551">
        <v>0.98</v>
      </c>
      <c r="N551">
        <v>0.77</v>
      </c>
      <c r="O551">
        <v>0.8</v>
      </c>
      <c r="P551">
        <f t="shared" si="8"/>
        <v>0.84000000000000008</v>
      </c>
      <c r="Q551">
        <v>0.11935016065039804</v>
      </c>
      <c r="R551">
        <v>0.55207229960545656</v>
      </c>
      <c r="S551">
        <v>0.96849957330610259</v>
      </c>
      <c r="T551">
        <v>0.84159769524925931</v>
      </c>
      <c r="U551">
        <v>0.25800404317013048</v>
      </c>
      <c r="V551">
        <v>7.4895462522440961E-2</v>
      </c>
      <c r="W551">
        <v>640</v>
      </c>
      <c r="X551">
        <v>807</v>
      </c>
      <c r="Y551">
        <v>0.85012980679585193</v>
      </c>
      <c r="Z551">
        <v>7.0514756555100769E-2</v>
      </c>
      <c r="AB551">
        <v>16.160047012041403</v>
      </c>
      <c r="AC551">
        <v>14.464122256342918</v>
      </c>
      <c r="AD551">
        <v>56.061610812839582</v>
      </c>
      <c r="AE551" t="s">
        <v>226</v>
      </c>
      <c r="AF551" t="s">
        <v>235</v>
      </c>
    </row>
    <row r="552" spans="1:32" x14ac:dyDescent="0.3">
      <c r="A552">
        <v>550</v>
      </c>
      <c r="B552" t="s">
        <v>230</v>
      </c>
      <c r="C552" t="s">
        <v>188</v>
      </c>
      <c r="D552">
        <v>2</v>
      </c>
      <c r="E552" s="7" t="s">
        <v>21</v>
      </c>
      <c r="F552">
        <v>15</v>
      </c>
      <c r="G552" t="s">
        <v>23</v>
      </c>
      <c r="H552" s="13"/>
      <c r="I552" s="13"/>
      <c r="J552">
        <v>0.499</v>
      </c>
      <c r="K552">
        <v>7.8E-2</v>
      </c>
      <c r="L552">
        <v>1.34</v>
      </c>
      <c r="M552">
        <v>1.44</v>
      </c>
      <c r="N552">
        <v>1.55</v>
      </c>
      <c r="O552">
        <v>1.76</v>
      </c>
      <c r="P552">
        <f t="shared" si="8"/>
        <v>1.5225</v>
      </c>
      <c r="Q552">
        <v>8.0814570080596809E-2</v>
      </c>
      <c r="R552">
        <v>0.61537026437243969</v>
      </c>
      <c r="S552">
        <v>0.90182862135679964</v>
      </c>
      <c r="T552">
        <v>0.94293890262790414</v>
      </c>
      <c r="U552">
        <v>0.21086349335175969</v>
      </c>
      <c r="V552">
        <v>2.5516446298917569E-2</v>
      </c>
      <c r="W552">
        <v>545</v>
      </c>
      <c r="X552">
        <v>790</v>
      </c>
      <c r="Y552">
        <v>0.7391327281918284</v>
      </c>
      <c r="Z552">
        <v>0.13127756709174582</v>
      </c>
      <c r="AB552">
        <v>30.041713358780022</v>
      </c>
      <c r="AC552">
        <v>26.889016628587171</v>
      </c>
      <c r="AD552">
        <v>127.51859604133215</v>
      </c>
      <c r="AE552" s="7" t="s">
        <v>226</v>
      </c>
      <c r="AF552" t="s">
        <v>235</v>
      </c>
    </row>
    <row r="553" spans="1:32" x14ac:dyDescent="0.3">
      <c r="A553">
        <v>551</v>
      </c>
      <c r="B553" t="s">
        <v>230</v>
      </c>
      <c r="C553" t="s">
        <v>188</v>
      </c>
      <c r="D553">
        <v>3</v>
      </c>
      <c r="E553" s="7" t="s">
        <v>21</v>
      </c>
      <c r="F553">
        <v>4</v>
      </c>
      <c r="G553" t="s">
        <v>29</v>
      </c>
      <c r="H553" s="13"/>
      <c r="I553" s="13"/>
      <c r="J553">
        <v>1.25</v>
      </c>
      <c r="K553">
        <v>0.35199999999999998</v>
      </c>
      <c r="L553">
        <v>4.7</v>
      </c>
      <c r="M553">
        <v>3.6</v>
      </c>
      <c r="N553">
        <v>4.79</v>
      </c>
      <c r="O553">
        <v>3.18</v>
      </c>
      <c r="P553">
        <f t="shared" si="8"/>
        <v>4.0674999999999999</v>
      </c>
      <c r="Q553">
        <v>0.10527576068304088</v>
      </c>
      <c r="R553">
        <v>0.31272600956143837</v>
      </c>
      <c r="S553">
        <v>0.79513579323765982</v>
      </c>
      <c r="T553">
        <v>0.88864760446126068</v>
      </c>
      <c r="U553">
        <v>0.50483599678950153</v>
      </c>
      <c r="V553">
        <v>5.1270425507626449E-2</v>
      </c>
      <c r="W553">
        <v>502</v>
      </c>
      <c r="X553">
        <v>701</v>
      </c>
      <c r="Y553">
        <v>0.76713459950454166</v>
      </c>
      <c r="Z553">
        <v>0.1151284291494105</v>
      </c>
      <c r="AB553">
        <v>25.945470754642606</v>
      </c>
      <c r="AC553">
        <v>23.222662035744342</v>
      </c>
      <c r="AD553">
        <v>46.000408416651318</v>
      </c>
      <c r="AE553" t="s">
        <v>226</v>
      </c>
      <c r="AF553" t="s">
        <v>235</v>
      </c>
    </row>
    <row r="554" spans="1:32" x14ac:dyDescent="0.3">
      <c r="A554">
        <v>552</v>
      </c>
      <c r="B554" t="s">
        <v>230</v>
      </c>
      <c r="C554" t="s">
        <v>188</v>
      </c>
      <c r="D554">
        <v>3</v>
      </c>
      <c r="E554" s="7" t="s">
        <v>21</v>
      </c>
      <c r="F554">
        <v>5</v>
      </c>
      <c r="G554" t="s">
        <v>23</v>
      </c>
      <c r="H554" s="13"/>
      <c r="I554" s="13"/>
      <c r="J554">
        <v>0.63800000000000001</v>
      </c>
      <c r="K554">
        <v>0.19</v>
      </c>
      <c r="L554">
        <v>2.85</v>
      </c>
      <c r="M554">
        <v>2.92</v>
      </c>
      <c r="N554">
        <v>2.69</v>
      </c>
      <c r="O554">
        <v>2.2999999999999998</v>
      </c>
      <c r="P554">
        <f t="shared" si="8"/>
        <v>2.6899999999999995</v>
      </c>
      <c r="Q554">
        <v>4.5918580105422109E-2</v>
      </c>
      <c r="R554">
        <v>0.38808823811410353</v>
      </c>
      <c r="S554">
        <v>0.92815421250036301</v>
      </c>
      <c r="T554">
        <v>0.92298667874578111</v>
      </c>
      <c r="U554">
        <v>0.41106951933044988</v>
      </c>
      <c r="V554">
        <v>3.4804567001117635E-2</v>
      </c>
      <c r="W554">
        <v>516</v>
      </c>
      <c r="X554">
        <v>722</v>
      </c>
      <c r="Y554">
        <v>0.76564501775793092</v>
      </c>
      <c r="Z554">
        <v>0.11597253919532577</v>
      </c>
      <c r="AB554">
        <v>26.15228429781137</v>
      </c>
      <c r="AC554">
        <v>23.407771450962557</v>
      </c>
      <c r="AD554">
        <v>56.943583384847265</v>
      </c>
      <c r="AE554" s="7" t="s">
        <v>226</v>
      </c>
      <c r="AF554" t="s">
        <v>235</v>
      </c>
    </row>
    <row r="555" spans="1:32" x14ac:dyDescent="0.3">
      <c r="A555">
        <v>553</v>
      </c>
      <c r="B555" t="s">
        <v>230</v>
      </c>
      <c r="C555" t="s">
        <v>188</v>
      </c>
      <c r="D555">
        <v>3</v>
      </c>
      <c r="E555" s="7" t="s">
        <v>21</v>
      </c>
      <c r="F555">
        <v>11</v>
      </c>
      <c r="G555" t="s">
        <v>192</v>
      </c>
      <c r="H555" s="13"/>
      <c r="I555" s="13"/>
      <c r="J555">
        <v>0.126</v>
      </c>
      <c r="K555">
        <v>2.4E-2</v>
      </c>
      <c r="L555">
        <v>1.57</v>
      </c>
      <c r="M555">
        <v>1.35</v>
      </c>
      <c r="N555">
        <v>1.23</v>
      </c>
      <c r="O555">
        <v>1.45</v>
      </c>
      <c r="P555">
        <f t="shared" si="8"/>
        <v>1.4000000000000001</v>
      </c>
      <c r="Q555">
        <v>9.934278858687999E-2</v>
      </c>
      <c r="R555">
        <v>0.55857819335923742</v>
      </c>
      <c r="S555">
        <v>0.90970086541108386</v>
      </c>
      <c r="T555">
        <v>0.94055819327016021</v>
      </c>
      <c r="U555">
        <v>0.25291602296478771</v>
      </c>
      <c r="V555">
        <v>2.6614329051119521E-2</v>
      </c>
      <c r="W555">
        <v>531</v>
      </c>
      <c r="X555">
        <v>744</v>
      </c>
      <c r="Y555">
        <v>0.76465664117505183</v>
      </c>
      <c r="Z555">
        <v>0.11653353519656205</v>
      </c>
      <c r="AB555">
        <v>26.290177837989702</v>
      </c>
      <c r="AC555">
        <v>23.531193679904533</v>
      </c>
      <c r="AD555">
        <v>93.039552828887665</v>
      </c>
      <c r="AE555" t="s">
        <v>226</v>
      </c>
      <c r="AF555" t="s">
        <v>235</v>
      </c>
    </row>
    <row r="556" spans="1:32" x14ac:dyDescent="0.3">
      <c r="A556">
        <v>554</v>
      </c>
      <c r="B556" t="s">
        <v>230</v>
      </c>
      <c r="C556" t="s">
        <v>188</v>
      </c>
      <c r="D556">
        <v>3</v>
      </c>
      <c r="E556" s="7" t="s">
        <v>21</v>
      </c>
      <c r="F556">
        <v>15</v>
      </c>
      <c r="G556" t="s">
        <v>28</v>
      </c>
      <c r="H556" s="13"/>
      <c r="I556" s="13"/>
      <c r="J556">
        <v>1.843</v>
      </c>
      <c r="K556">
        <v>0.36799999999999999</v>
      </c>
      <c r="L556">
        <v>1.71</v>
      </c>
      <c r="M556">
        <v>1.45</v>
      </c>
      <c r="N556">
        <v>1.41</v>
      </c>
      <c r="O556">
        <v>1.25</v>
      </c>
      <c r="P556">
        <f t="shared" si="8"/>
        <v>1.4550000000000001</v>
      </c>
      <c r="Q556">
        <v>9.9420970214833981E-2</v>
      </c>
      <c r="R556">
        <v>0.28237487831690355</v>
      </c>
      <c r="S556">
        <v>0.85644454770672684</v>
      </c>
      <c r="T556">
        <v>0.88741174195486805</v>
      </c>
      <c r="U556">
        <v>0.54917394322096957</v>
      </c>
      <c r="V556">
        <v>5.1874829132571278E-2</v>
      </c>
      <c r="W556">
        <v>458</v>
      </c>
      <c r="X556">
        <v>664</v>
      </c>
      <c r="Y556">
        <v>0.7386707817853686</v>
      </c>
      <c r="Z556">
        <v>0.13154907921151063</v>
      </c>
      <c r="AB556">
        <v>30.113100390014438</v>
      </c>
      <c r="AC556">
        <v>26.952911702739314</v>
      </c>
      <c r="AD556">
        <v>49.079006816414719</v>
      </c>
      <c r="AE556" s="7" t="s">
        <v>226</v>
      </c>
      <c r="AF556" t="s">
        <v>235</v>
      </c>
    </row>
    <row r="557" spans="1:32" x14ac:dyDescent="0.3">
      <c r="A557">
        <v>555</v>
      </c>
      <c r="B557" t="s">
        <v>230</v>
      </c>
      <c r="C557" t="s">
        <v>188</v>
      </c>
      <c r="D557">
        <v>4</v>
      </c>
      <c r="E557" s="7" t="s">
        <v>21</v>
      </c>
      <c r="F557">
        <v>4</v>
      </c>
      <c r="G557" t="s">
        <v>24</v>
      </c>
      <c r="H557" s="13"/>
      <c r="I557" s="13"/>
      <c r="J557">
        <v>0.76700000000000002</v>
      </c>
      <c r="K557">
        <v>0.22</v>
      </c>
      <c r="L557">
        <v>3.79</v>
      </c>
      <c r="M557">
        <v>2.5</v>
      </c>
      <c r="N557">
        <v>2.48</v>
      </c>
      <c r="O557">
        <v>2.91</v>
      </c>
      <c r="P557">
        <f t="shared" si="8"/>
        <v>2.92</v>
      </c>
      <c r="Q557">
        <v>8.5768510656355643E-2</v>
      </c>
      <c r="R557">
        <v>0.39058122689652874</v>
      </c>
      <c r="S557">
        <v>0.90763316092666113</v>
      </c>
      <c r="T557">
        <v>0.90364710942840287</v>
      </c>
      <c r="U557">
        <v>0.40828863470709692</v>
      </c>
      <c r="V557">
        <v>4.400113628255959E-2</v>
      </c>
      <c r="W557">
        <v>490</v>
      </c>
      <c r="X557">
        <v>701</v>
      </c>
      <c r="Y557">
        <v>0.74872336911643267</v>
      </c>
      <c r="Z557">
        <v>0.12567861148271869</v>
      </c>
      <c r="AB557">
        <v>28.588175486050183</v>
      </c>
      <c r="AC557">
        <v>25.588024505795495</v>
      </c>
      <c r="AD557">
        <v>62.671410200169163</v>
      </c>
      <c r="AE557" t="s">
        <v>226</v>
      </c>
      <c r="AF557" t="s">
        <v>235</v>
      </c>
    </row>
    <row r="558" spans="1:32" x14ac:dyDescent="0.3">
      <c r="A558">
        <v>556</v>
      </c>
      <c r="B558" t="s">
        <v>230</v>
      </c>
      <c r="C558" t="s">
        <v>188</v>
      </c>
      <c r="D558">
        <v>4</v>
      </c>
      <c r="E558" s="7" t="s">
        <v>21</v>
      </c>
      <c r="F558">
        <v>8</v>
      </c>
      <c r="G558" t="s">
        <v>192</v>
      </c>
      <c r="H558" s="13"/>
      <c r="I558" s="13"/>
      <c r="J558">
        <v>1.3049999999999999</v>
      </c>
      <c r="K558">
        <v>0.25900000000000001</v>
      </c>
      <c r="L558">
        <v>1.7</v>
      </c>
      <c r="M558">
        <v>1.69</v>
      </c>
      <c r="N558">
        <v>1.77</v>
      </c>
      <c r="O558">
        <v>1.51</v>
      </c>
      <c r="P558">
        <f t="shared" si="8"/>
        <v>1.6675</v>
      </c>
      <c r="Q558">
        <v>0.12325864509853626</v>
      </c>
      <c r="R558">
        <v>0.67133088162754617</v>
      </c>
      <c r="S558">
        <v>0.90327355749690463</v>
      </c>
      <c r="T558">
        <v>0.944867203042276</v>
      </c>
      <c r="U558">
        <v>0.17306337454611317</v>
      </c>
      <c r="V558">
        <v>2.4629225394024134E-2</v>
      </c>
      <c r="W558">
        <v>461</v>
      </c>
      <c r="X558">
        <v>644</v>
      </c>
      <c r="Y558">
        <v>0.76665737735866024</v>
      </c>
      <c r="Z558">
        <v>0.11539868085813325</v>
      </c>
      <c r="AB558">
        <v>26.011596950286066</v>
      </c>
      <c r="AC558">
        <v>23.281848595906389</v>
      </c>
      <c r="AD558">
        <v>134.52787833917384</v>
      </c>
      <c r="AE558" s="7" t="s">
        <v>226</v>
      </c>
      <c r="AF558" t="s">
        <v>235</v>
      </c>
    </row>
    <row r="559" spans="1:32" x14ac:dyDescent="0.3">
      <c r="A559">
        <v>557</v>
      </c>
      <c r="B559" t="s">
        <v>230</v>
      </c>
      <c r="C559" t="s">
        <v>188</v>
      </c>
      <c r="D559">
        <v>4</v>
      </c>
      <c r="E559" s="7" t="s">
        <v>21</v>
      </c>
      <c r="F559">
        <v>9</v>
      </c>
      <c r="G559" t="s">
        <v>29</v>
      </c>
      <c r="H559" s="13"/>
      <c r="I559" s="13"/>
      <c r="J559">
        <v>1.2330000000000001</v>
      </c>
      <c r="K559">
        <v>0.31900000000000001</v>
      </c>
      <c r="L559">
        <v>2.39</v>
      </c>
      <c r="M559">
        <v>3.38</v>
      </c>
      <c r="N559">
        <v>2.4700000000000002</v>
      </c>
      <c r="O559">
        <v>3.39</v>
      </c>
      <c r="P559">
        <f t="shared" si="8"/>
        <v>2.9075000000000002</v>
      </c>
      <c r="Q559">
        <v>0.12276132755119086</v>
      </c>
      <c r="R559">
        <v>0.40613901278977582</v>
      </c>
      <c r="S559">
        <v>0.92126307069392399</v>
      </c>
      <c r="T559">
        <v>0.76243100342491221</v>
      </c>
      <c r="U559">
        <v>0.39132529116610121</v>
      </c>
      <c r="V559">
        <v>0.11779945189938139</v>
      </c>
      <c r="W559">
        <v>537</v>
      </c>
      <c r="X559">
        <v>707</v>
      </c>
      <c r="Y559">
        <v>0.81385809494178718</v>
      </c>
      <c r="Z559">
        <v>8.9451312501747759E-2</v>
      </c>
      <c r="AB559">
        <v>20.038944839518503</v>
      </c>
      <c r="AC559">
        <v>17.935981611645747</v>
      </c>
      <c r="AD559">
        <v>45.833944333622625</v>
      </c>
      <c r="AE559" t="s">
        <v>226</v>
      </c>
      <c r="AF559" t="s">
        <v>235</v>
      </c>
    </row>
    <row r="560" spans="1:32" x14ac:dyDescent="0.3">
      <c r="A560">
        <v>558</v>
      </c>
      <c r="B560" t="s">
        <v>230</v>
      </c>
      <c r="C560" t="s">
        <v>188</v>
      </c>
      <c r="D560">
        <v>4</v>
      </c>
      <c r="E560" s="7" t="s">
        <v>21</v>
      </c>
      <c r="F560">
        <v>12</v>
      </c>
      <c r="G560" t="s">
        <v>23</v>
      </c>
      <c r="H560" s="13"/>
      <c r="I560" s="13"/>
      <c r="J560">
        <v>0.37</v>
      </c>
      <c r="K560">
        <v>6.2E-2</v>
      </c>
      <c r="L560">
        <v>1.92</v>
      </c>
      <c r="M560">
        <v>3.05</v>
      </c>
      <c r="N560">
        <v>1.87</v>
      </c>
      <c r="O560">
        <v>1.75</v>
      </c>
      <c r="P560">
        <f t="shared" si="8"/>
        <v>2.1475</v>
      </c>
      <c r="Q560">
        <v>0.17121579093572117</v>
      </c>
      <c r="R560">
        <v>0.46136922388018858</v>
      </c>
      <c r="S560">
        <v>0.86505721517656753</v>
      </c>
      <c r="T560">
        <v>0.92768779935059831</v>
      </c>
      <c r="U560">
        <v>0.3359513789193721</v>
      </c>
      <c r="V560">
        <v>3.2598155065299464E-2</v>
      </c>
      <c r="W560">
        <v>458</v>
      </c>
      <c r="X560">
        <v>699</v>
      </c>
      <c r="Y560">
        <v>0.70163141593653211</v>
      </c>
      <c r="Z560">
        <v>0.15389097342989858</v>
      </c>
      <c r="AB560">
        <v>36.272630228859164</v>
      </c>
      <c r="AC560">
        <v>32.465996661686262</v>
      </c>
      <c r="AD560">
        <v>96.638974265017254</v>
      </c>
      <c r="AE560" s="7" t="s">
        <v>226</v>
      </c>
      <c r="AF560" t="s">
        <v>235</v>
      </c>
    </row>
    <row r="561" spans="1:32" x14ac:dyDescent="0.3">
      <c r="A561">
        <v>559</v>
      </c>
      <c r="B561" t="s">
        <v>230</v>
      </c>
      <c r="C561" t="s">
        <v>188</v>
      </c>
      <c r="D561">
        <v>4</v>
      </c>
      <c r="E561" s="7" t="s">
        <v>21</v>
      </c>
      <c r="F561">
        <v>16</v>
      </c>
      <c r="G561" t="s">
        <v>28</v>
      </c>
      <c r="H561" s="13"/>
      <c r="I561" s="13"/>
      <c r="J561">
        <v>0.89</v>
      </c>
      <c r="K561">
        <v>0.19900000000000001</v>
      </c>
      <c r="L561">
        <v>5.08</v>
      </c>
      <c r="M561">
        <v>4.0599999999999996</v>
      </c>
      <c r="N561">
        <v>4.26</v>
      </c>
      <c r="O561">
        <v>5.0199999999999996</v>
      </c>
      <c r="P561">
        <f t="shared" si="8"/>
        <v>4.6050000000000004</v>
      </c>
      <c r="Q561">
        <v>5.5039809178866361E-2</v>
      </c>
      <c r="R561">
        <v>0.75503097803491792</v>
      </c>
      <c r="S561">
        <v>1.0253299222021464</v>
      </c>
      <c r="T561">
        <v>0.87034028664510965</v>
      </c>
      <c r="U561">
        <v>0.12203522941236301</v>
      </c>
      <c r="V561">
        <v>6.0310913222793153E-2</v>
      </c>
      <c r="W561">
        <v>580</v>
      </c>
      <c r="X561">
        <v>739</v>
      </c>
      <c r="Y561">
        <v>0.84114541723451919</v>
      </c>
      <c r="Z561">
        <v>7.5128916873684962E-2</v>
      </c>
      <c r="AB561">
        <v>17.067875470819111</v>
      </c>
      <c r="AC561">
        <v>15.276688248203758</v>
      </c>
      <c r="AD561">
        <v>125.18260769259572</v>
      </c>
      <c r="AE561" t="s">
        <v>226</v>
      </c>
      <c r="AF561" t="s">
        <v>235</v>
      </c>
    </row>
    <row r="562" spans="1:32" x14ac:dyDescent="0.3">
      <c r="A562">
        <v>560</v>
      </c>
      <c r="B562" t="s">
        <v>231</v>
      </c>
      <c r="C562" t="s">
        <v>198</v>
      </c>
      <c r="D562">
        <v>1</v>
      </c>
      <c r="F562">
        <v>2</v>
      </c>
      <c r="G562" t="s">
        <v>26</v>
      </c>
      <c r="H562" s="13"/>
      <c r="I562" s="13"/>
      <c r="J562">
        <v>0.95</v>
      </c>
      <c r="K562">
        <v>0.161</v>
      </c>
      <c r="L562">
        <v>1.07</v>
      </c>
      <c r="M562">
        <v>1.1200000000000001</v>
      </c>
      <c r="N562">
        <v>1.2</v>
      </c>
      <c r="O562">
        <v>1.8</v>
      </c>
      <c r="P562">
        <f t="shared" si="8"/>
        <v>1.2975000000000001</v>
      </c>
      <c r="Q562">
        <v>0.15235231421724471</v>
      </c>
      <c r="R562">
        <v>0.49554363580211536</v>
      </c>
      <c r="S562">
        <v>0.82042785005301977</v>
      </c>
      <c r="T562">
        <v>0.93267536816431129</v>
      </c>
      <c r="U562">
        <v>0.3049180970744107</v>
      </c>
      <c r="V562">
        <v>3.0269492746716746E-2</v>
      </c>
      <c r="W562">
        <v>473</v>
      </c>
      <c r="X562">
        <v>700</v>
      </c>
      <c r="Y562">
        <v>0.72367461360986374</v>
      </c>
      <c r="Z562">
        <v>0.14045666208795773</v>
      </c>
      <c r="AB562">
        <v>32.50129051925412</v>
      </c>
      <c r="AC562">
        <v>29.090463098020372</v>
      </c>
      <c r="AD562">
        <v>95.404186819784854</v>
      </c>
      <c r="AE562" s="7" t="s">
        <v>226</v>
      </c>
    </row>
    <row r="563" spans="1:32" x14ac:dyDescent="0.3">
      <c r="A563">
        <v>561</v>
      </c>
      <c r="B563" t="s">
        <v>231</v>
      </c>
      <c r="C563" t="s">
        <v>198</v>
      </c>
      <c r="D563">
        <v>1</v>
      </c>
      <c r="F563">
        <v>5</v>
      </c>
      <c r="G563" t="s">
        <v>192</v>
      </c>
      <c r="H563" s="13"/>
      <c r="I563" s="13"/>
      <c r="J563">
        <v>0.44900000000000001</v>
      </c>
      <c r="K563">
        <v>0.08</v>
      </c>
      <c r="L563">
        <v>1.59</v>
      </c>
      <c r="M563">
        <v>1.72</v>
      </c>
      <c r="N563">
        <v>1.27</v>
      </c>
      <c r="O563">
        <v>1.54</v>
      </c>
      <c r="P563">
        <f t="shared" si="8"/>
        <v>1.53</v>
      </c>
      <c r="Q563">
        <v>0.38205670178728546</v>
      </c>
      <c r="R563">
        <v>0.89218143131532324</v>
      </c>
      <c r="S563">
        <v>0.88321161852995222</v>
      </c>
      <c r="T563">
        <v>0.98078440125727406</v>
      </c>
      <c r="U563">
        <v>4.9546819831468206E-2</v>
      </c>
      <c r="V563">
        <v>8.4264499440959949E-3</v>
      </c>
      <c r="W563">
        <v>437</v>
      </c>
      <c r="X563">
        <v>672</v>
      </c>
      <c r="Y563">
        <v>0.69625181981857809</v>
      </c>
      <c r="Z563">
        <v>0.15723365668552719</v>
      </c>
      <c r="AB563">
        <v>37.242672756013917</v>
      </c>
      <c r="AC563">
        <v>33.33423095117486</v>
      </c>
      <c r="AD563">
        <v>672.7824523261047</v>
      </c>
      <c r="AE563" t="s">
        <v>226</v>
      </c>
    </row>
    <row r="564" spans="1:32" x14ac:dyDescent="0.3">
      <c r="A564">
        <v>562</v>
      </c>
      <c r="B564" t="s">
        <v>231</v>
      </c>
      <c r="C564" t="s">
        <v>198</v>
      </c>
      <c r="D564">
        <v>1</v>
      </c>
      <c r="F564">
        <v>11</v>
      </c>
      <c r="G564" t="s">
        <v>27</v>
      </c>
      <c r="H564" s="13"/>
      <c r="I564" s="13"/>
      <c r="J564">
        <v>0.245</v>
      </c>
      <c r="K564">
        <v>3.3000000000000002E-2</v>
      </c>
      <c r="L564">
        <v>1.39</v>
      </c>
      <c r="M564">
        <v>1.84</v>
      </c>
      <c r="N564">
        <v>1.4</v>
      </c>
      <c r="O564">
        <v>1.69</v>
      </c>
      <c r="P564">
        <f t="shared" si="8"/>
        <v>1.58</v>
      </c>
      <c r="Q564">
        <v>0.18551054271178047</v>
      </c>
      <c r="R564">
        <v>0.50600206301201589</v>
      </c>
      <c r="S564">
        <v>0.92068710655758601</v>
      </c>
      <c r="T564">
        <v>0.89834401606321279</v>
      </c>
      <c r="U564">
        <v>0.29584771250227959</v>
      </c>
      <c r="V564">
        <v>4.6557320718552835E-2</v>
      </c>
      <c r="W564">
        <v>549</v>
      </c>
      <c r="X564">
        <v>753</v>
      </c>
      <c r="Y564">
        <v>0.78121233550608782</v>
      </c>
      <c r="Z564">
        <v>0.10723090772938393</v>
      </c>
      <c r="AB564">
        <v>24.049503123923095</v>
      </c>
      <c r="AC564">
        <v>21.525665726358248</v>
      </c>
      <c r="AD564">
        <v>72.759277211556565</v>
      </c>
      <c r="AE564" s="7" t="s">
        <v>226</v>
      </c>
    </row>
    <row r="565" spans="1:32" x14ac:dyDescent="0.3">
      <c r="A565">
        <v>563</v>
      </c>
      <c r="B565" t="s">
        <v>231</v>
      </c>
      <c r="C565" t="s">
        <v>198</v>
      </c>
      <c r="D565">
        <v>1</v>
      </c>
      <c r="F565">
        <v>14</v>
      </c>
      <c r="G565" t="s">
        <v>29</v>
      </c>
      <c r="H565" s="13"/>
      <c r="I565" s="13"/>
      <c r="J565">
        <v>0.496</v>
      </c>
      <c r="K565">
        <v>0.13200000000000001</v>
      </c>
      <c r="L565">
        <v>2.65</v>
      </c>
      <c r="M565">
        <v>2.96</v>
      </c>
      <c r="N565">
        <v>3.37</v>
      </c>
      <c r="O565">
        <v>4.28</v>
      </c>
      <c r="P565">
        <f t="shared" si="8"/>
        <v>3.3150000000000004</v>
      </c>
      <c r="Q565">
        <v>9.405671273757811E-2</v>
      </c>
      <c r="R565">
        <v>0.58585727351638806</v>
      </c>
      <c r="S565">
        <v>0.82917581590656131</v>
      </c>
      <c r="T565">
        <v>0.97070780431453818</v>
      </c>
      <c r="U565">
        <v>0.23220817386940071</v>
      </c>
      <c r="V565">
        <v>1.291147871304296E-2</v>
      </c>
      <c r="W565">
        <v>454</v>
      </c>
      <c r="X565">
        <v>716</v>
      </c>
      <c r="Y565">
        <v>0.67894094344961387</v>
      </c>
      <c r="Z565">
        <v>0.16816800046087102</v>
      </c>
      <c r="AB565">
        <v>40.503964122947593</v>
      </c>
      <c r="AC565">
        <v>36.253238818407027</v>
      </c>
      <c r="AD565">
        <v>156.12387029406077</v>
      </c>
      <c r="AE565" t="s">
        <v>226</v>
      </c>
    </row>
    <row r="566" spans="1:32" x14ac:dyDescent="0.3">
      <c r="A566">
        <v>564</v>
      </c>
      <c r="B566" t="s">
        <v>231</v>
      </c>
      <c r="C566" t="s">
        <v>198</v>
      </c>
      <c r="D566">
        <v>2</v>
      </c>
      <c r="F566">
        <v>13</v>
      </c>
      <c r="G566" t="s">
        <v>29</v>
      </c>
      <c r="H566" s="13"/>
      <c r="I566" s="13"/>
      <c r="J566">
        <v>0.99199999999999999</v>
      </c>
      <c r="K566">
        <v>0.26500000000000001</v>
      </c>
      <c r="L566">
        <v>2.14</v>
      </c>
      <c r="M566">
        <v>2.13</v>
      </c>
      <c r="N566">
        <v>2.21</v>
      </c>
      <c r="O566">
        <v>2.61</v>
      </c>
      <c r="P566">
        <f t="shared" si="8"/>
        <v>2.2725</v>
      </c>
      <c r="Q566">
        <v>0.1585663740905969</v>
      </c>
      <c r="R566">
        <v>0.60572162144326525</v>
      </c>
      <c r="S566">
        <v>0.84759277419827883</v>
      </c>
      <c r="T566">
        <v>0.98961860573581684</v>
      </c>
      <c r="U566">
        <v>0.21772692376792177</v>
      </c>
      <c r="V566">
        <v>4.5321481683079012E-3</v>
      </c>
      <c r="W566">
        <v>438</v>
      </c>
      <c r="X566">
        <v>686</v>
      </c>
      <c r="Y566">
        <v>0.68358972195266021</v>
      </c>
      <c r="Z566">
        <v>0.16520447569501201</v>
      </c>
      <c r="AB566">
        <v>39.60671977714275</v>
      </c>
      <c r="AC566">
        <v>35.45016377433894</v>
      </c>
      <c r="AD566">
        <v>162.8193847634837</v>
      </c>
      <c r="AE566" s="7" t="s">
        <v>226</v>
      </c>
    </row>
    <row r="567" spans="1:32" x14ac:dyDescent="0.3">
      <c r="A567">
        <v>565</v>
      </c>
      <c r="B567" t="s">
        <v>231</v>
      </c>
      <c r="C567" t="s">
        <v>198</v>
      </c>
      <c r="D567">
        <v>2</v>
      </c>
      <c r="F567">
        <v>10</v>
      </c>
      <c r="G567" t="s">
        <v>28</v>
      </c>
      <c r="H567" s="13"/>
      <c r="I567" s="13"/>
      <c r="J567">
        <v>0.27700000000000002</v>
      </c>
      <c r="K567">
        <v>8.2000000000000003E-2</v>
      </c>
      <c r="L567">
        <v>5.17</v>
      </c>
      <c r="M567">
        <v>4.93</v>
      </c>
      <c r="N567">
        <v>5.9</v>
      </c>
      <c r="O567">
        <v>5.28</v>
      </c>
      <c r="P567">
        <f t="shared" si="8"/>
        <v>5.32</v>
      </c>
      <c r="Q567">
        <v>7.3419396674610199E-2</v>
      </c>
      <c r="R567">
        <v>0.4270124707013791</v>
      </c>
      <c r="S567">
        <v>0.83461914329444475</v>
      </c>
      <c r="T567">
        <v>0.94038425645849888</v>
      </c>
      <c r="U567">
        <v>0.36955944142062397</v>
      </c>
      <c r="V567">
        <v>2.669465027278219E-2</v>
      </c>
      <c r="W567">
        <v>375</v>
      </c>
      <c r="X567">
        <v>619</v>
      </c>
      <c r="Y567">
        <v>0.64821632340011592</v>
      </c>
      <c r="Z567">
        <v>0.18828003675130073</v>
      </c>
      <c r="AB567">
        <v>46.855220298272926</v>
      </c>
      <c r="AC567">
        <v>41.937896356894626</v>
      </c>
      <c r="AD567">
        <v>113.4807872738445</v>
      </c>
      <c r="AE567" t="s">
        <v>226</v>
      </c>
    </row>
    <row r="568" spans="1:32" x14ac:dyDescent="0.3">
      <c r="A568">
        <v>566</v>
      </c>
      <c r="B568" t="s">
        <v>231</v>
      </c>
      <c r="C568" t="s">
        <v>198</v>
      </c>
      <c r="D568">
        <v>3</v>
      </c>
      <c r="F568">
        <v>1</v>
      </c>
      <c r="G568" t="s">
        <v>28</v>
      </c>
      <c r="H568" s="13"/>
      <c r="I568" s="13"/>
      <c r="J568">
        <v>0.97399999999999998</v>
      </c>
      <c r="K568">
        <v>0.23400000000000001</v>
      </c>
      <c r="L568">
        <v>2.66</v>
      </c>
      <c r="M568">
        <v>2.46</v>
      </c>
      <c r="N568">
        <v>2.52</v>
      </c>
      <c r="O568">
        <v>2.61</v>
      </c>
      <c r="P568">
        <f t="shared" si="8"/>
        <v>2.5625</v>
      </c>
      <c r="Q568">
        <v>0.10181263692191292</v>
      </c>
      <c r="R568">
        <v>0.43238092705494835</v>
      </c>
      <c r="S568">
        <v>0.83666279974532654</v>
      </c>
      <c r="T568">
        <v>0.99226717101809858</v>
      </c>
      <c r="U568">
        <v>0.3641334716509208</v>
      </c>
      <c r="V568">
        <v>3.3713769621090822E-3</v>
      </c>
      <c r="W568">
        <v>447</v>
      </c>
      <c r="X568">
        <v>734</v>
      </c>
      <c r="Y568">
        <v>0.65201208116143172</v>
      </c>
      <c r="Z568">
        <v>0.18574435713136883</v>
      </c>
      <c r="AB568">
        <v>46.029299974574556</v>
      </c>
      <c r="AC568">
        <v>41.198661703789313</v>
      </c>
      <c r="AD568">
        <v>113.14164972805551</v>
      </c>
      <c r="AE568" s="7" t="s">
        <v>226</v>
      </c>
    </row>
    <row r="569" spans="1:32" x14ac:dyDescent="0.3">
      <c r="A569">
        <v>567</v>
      </c>
      <c r="B569" t="s">
        <v>231</v>
      </c>
      <c r="C569" t="s">
        <v>198</v>
      </c>
      <c r="D569">
        <v>3</v>
      </c>
      <c r="F569">
        <v>6</v>
      </c>
      <c r="G569" t="s">
        <v>25</v>
      </c>
      <c r="H569" s="13"/>
      <c r="I569" s="13"/>
      <c r="J569">
        <v>0.71799999999999997</v>
      </c>
      <c r="K569">
        <v>0.11</v>
      </c>
      <c r="L569">
        <v>1.07</v>
      </c>
      <c r="M569">
        <v>1.07</v>
      </c>
      <c r="N569">
        <v>1.28</v>
      </c>
      <c r="O569">
        <v>1.28</v>
      </c>
      <c r="P569">
        <f t="shared" si="8"/>
        <v>1.175</v>
      </c>
      <c r="Q569">
        <v>0.37550817394306241</v>
      </c>
      <c r="R569">
        <v>0.51137724864517353</v>
      </c>
      <c r="S569">
        <v>0.83386562582998747</v>
      </c>
      <c r="T569">
        <v>1.0187909809516773</v>
      </c>
      <c r="U569">
        <v>0.29125859779512253</v>
      </c>
      <c r="V569">
        <v>-8.0850916309412983E-3</v>
      </c>
      <c r="W569">
        <v>520</v>
      </c>
      <c r="X569">
        <v>798</v>
      </c>
      <c r="Y569">
        <v>0.69802510860814759</v>
      </c>
      <c r="Z569">
        <v>0.1561289551220518</v>
      </c>
      <c r="AB569">
        <v>36.920693576756918</v>
      </c>
      <c r="AC569">
        <v>33.046044294362432</v>
      </c>
      <c r="AD569">
        <v>113.45946366743041</v>
      </c>
      <c r="AE569" t="s">
        <v>226</v>
      </c>
    </row>
    <row r="570" spans="1:32" x14ac:dyDescent="0.3">
      <c r="A570">
        <v>568</v>
      </c>
      <c r="B570" t="s">
        <v>231</v>
      </c>
      <c r="C570" t="s">
        <v>198</v>
      </c>
      <c r="D570">
        <v>3</v>
      </c>
      <c r="F570">
        <v>7</v>
      </c>
      <c r="G570" t="s">
        <v>27</v>
      </c>
      <c r="H570" s="13"/>
      <c r="I570" s="13"/>
      <c r="J570">
        <v>0.18</v>
      </c>
      <c r="K570">
        <v>2.8000000000000001E-2</v>
      </c>
      <c r="L570">
        <v>1.29</v>
      </c>
      <c r="M570">
        <v>1.24</v>
      </c>
      <c r="N570">
        <v>1.17</v>
      </c>
      <c r="O570">
        <v>1.18</v>
      </c>
      <c r="P570">
        <f t="shared" si="8"/>
        <v>1.22</v>
      </c>
      <c r="Q570">
        <v>0.24573011888437382</v>
      </c>
      <c r="R570">
        <v>0.64750784179047161</v>
      </c>
      <c r="S570">
        <v>0.90627578685155397</v>
      </c>
      <c r="T570">
        <v>0.95177200183373889</v>
      </c>
      <c r="U570">
        <v>0.18875496759310817</v>
      </c>
      <c r="V570">
        <v>2.1467074939609941E-2</v>
      </c>
      <c r="W570">
        <v>454</v>
      </c>
      <c r="X570">
        <v>675</v>
      </c>
      <c r="Y570">
        <v>0.72024150529150432</v>
      </c>
      <c r="Z570">
        <v>0.14252185519511024</v>
      </c>
      <c r="AB570">
        <v>33.067781425650395</v>
      </c>
      <c r="AC570">
        <v>29.597500693251682</v>
      </c>
      <c r="AD570">
        <v>156.80382387102986</v>
      </c>
      <c r="AE570" s="7" t="s">
        <v>226</v>
      </c>
    </row>
    <row r="571" spans="1:32" x14ac:dyDescent="0.3">
      <c r="A571">
        <v>569</v>
      </c>
      <c r="B571" t="s">
        <v>231</v>
      </c>
      <c r="C571" t="s">
        <v>198</v>
      </c>
      <c r="D571">
        <v>3</v>
      </c>
      <c r="F571">
        <v>11</v>
      </c>
      <c r="G571" t="s">
        <v>23</v>
      </c>
      <c r="H571" s="13"/>
      <c r="I571" s="13"/>
      <c r="J571">
        <v>0.11700000000000001</v>
      </c>
      <c r="K571">
        <v>1.2999999999999999E-2</v>
      </c>
      <c r="L571">
        <v>1.52</v>
      </c>
      <c r="M571">
        <v>1.62</v>
      </c>
      <c r="N571">
        <v>1.18</v>
      </c>
      <c r="O571">
        <v>1.5</v>
      </c>
      <c r="P571">
        <f t="shared" si="8"/>
        <v>1.4550000000000001</v>
      </c>
      <c r="Q571">
        <v>0.10258222734514781</v>
      </c>
      <c r="R571">
        <v>0.55580383263755995</v>
      </c>
      <c r="S571">
        <v>0.86814986406475081</v>
      </c>
      <c r="T571">
        <v>0.91904474531938163</v>
      </c>
      <c r="U571">
        <v>0.2550784627986532</v>
      </c>
      <c r="V571">
        <v>3.6663343703949199E-2</v>
      </c>
      <c r="W571">
        <v>447</v>
      </c>
      <c r="X571">
        <v>663</v>
      </c>
      <c r="Y571">
        <v>0.72194086932224999</v>
      </c>
      <c r="Z571">
        <v>0.14149837192994077</v>
      </c>
      <c r="AB571">
        <v>32.786433695739483</v>
      </c>
      <c r="AC571">
        <v>29.345680476578458</v>
      </c>
      <c r="AD571">
        <v>115.04570066247632</v>
      </c>
      <c r="AE571" t="s">
        <v>226</v>
      </c>
    </row>
    <row r="572" spans="1:32" x14ac:dyDescent="0.3">
      <c r="A572">
        <v>570</v>
      </c>
      <c r="B572" t="s">
        <v>231</v>
      </c>
      <c r="C572" t="s">
        <v>198</v>
      </c>
      <c r="D572">
        <v>3</v>
      </c>
      <c r="F572">
        <v>13</v>
      </c>
      <c r="G572" t="s">
        <v>29</v>
      </c>
      <c r="H572" s="13"/>
      <c r="I572" s="13"/>
      <c r="J572">
        <v>1.179</v>
      </c>
      <c r="K572">
        <v>0.30399999999999999</v>
      </c>
      <c r="L572">
        <v>2.76</v>
      </c>
      <c r="M572">
        <v>2.52</v>
      </c>
      <c r="N572">
        <v>2.7</v>
      </c>
      <c r="O572">
        <v>2.35</v>
      </c>
      <c r="P572">
        <f t="shared" si="8"/>
        <v>2.5825</v>
      </c>
      <c r="Q572">
        <v>0.16162914016119362</v>
      </c>
      <c r="R572">
        <v>0.58294356780670642</v>
      </c>
      <c r="S572">
        <v>0.83586414539548726</v>
      </c>
      <c r="T572">
        <v>1.0051265909914009</v>
      </c>
      <c r="U572">
        <v>0.23437348533768515</v>
      </c>
      <c r="V572">
        <v>-2.2207625592761343E-3</v>
      </c>
      <c r="W572">
        <v>450</v>
      </c>
      <c r="X572">
        <v>759</v>
      </c>
      <c r="Y572">
        <v>0.63475833879848098</v>
      </c>
      <c r="Z572">
        <v>0.19739158510508198</v>
      </c>
      <c r="AB572">
        <v>49.882959865546923</v>
      </c>
      <c r="AC572">
        <v>44.647853094461901</v>
      </c>
      <c r="AD572">
        <v>190.49873764574224</v>
      </c>
      <c r="AE572" s="7" t="s">
        <v>226</v>
      </c>
    </row>
    <row r="573" spans="1:32" x14ac:dyDescent="0.3">
      <c r="A573">
        <v>571</v>
      </c>
      <c r="B573" t="s">
        <v>231</v>
      </c>
      <c r="C573" t="s">
        <v>198</v>
      </c>
      <c r="D573">
        <v>4</v>
      </c>
      <c r="F573">
        <v>2</v>
      </c>
      <c r="G573" t="s">
        <v>24</v>
      </c>
      <c r="H573" s="13"/>
      <c r="I573" s="13"/>
      <c r="J573">
        <v>0.80200000000000005</v>
      </c>
      <c r="K573">
        <v>0.23400000000000001</v>
      </c>
      <c r="L573">
        <v>2.54</v>
      </c>
      <c r="M573">
        <v>2.34</v>
      </c>
      <c r="N573">
        <v>1.91</v>
      </c>
      <c r="O573">
        <v>2.61</v>
      </c>
      <c r="P573">
        <f t="shared" si="8"/>
        <v>2.35</v>
      </c>
      <c r="Q573">
        <v>7.3090039651007799E-2</v>
      </c>
      <c r="R573">
        <v>0.4027576304403187</v>
      </c>
      <c r="S573">
        <v>0.85112002226839301</v>
      </c>
      <c r="T573">
        <v>0.91933025160870097</v>
      </c>
      <c r="U573">
        <v>0.39495622290940635</v>
      </c>
      <c r="V573">
        <v>3.6528448693731945E-2</v>
      </c>
      <c r="W573">
        <v>444</v>
      </c>
      <c r="X573">
        <v>695</v>
      </c>
      <c r="Y573">
        <v>0.68400992820376127</v>
      </c>
      <c r="Z573">
        <v>0.16493759457693555</v>
      </c>
      <c r="AB573">
        <v>39.526405030997822</v>
      </c>
      <c r="AC573">
        <v>35.378278357184932</v>
      </c>
      <c r="AD573">
        <v>89.575189109755783</v>
      </c>
      <c r="AE573" t="s">
        <v>226</v>
      </c>
    </row>
    <row r="574" spans="1:32" x14ac:dyDescent="0.3">
      <c r="A574">
        <v>572</v>
      </c>
      <c r="B574" t="s">
        <v>231</v>
      </c>
      <c r="C574" t="s">
        <v>198</v>
      </c>
      <c r="D574">
        <v>4</v>
      </c>
      <c r="F574">
        <v>11</v>
      </c>
      <c r="G574" t="s">
        <v>192</v>
      </c>
      <c r="H574" s="13"/>
      <c r="I574" s="13"/>
      <c r="J574">
        <v>0.76</v>
      </c>
      <c r="K574">
        <v>0.13800000000000001</v>
      </c>
      <c r="L574">
        <v>1.41</v>
      </c>
      <c r="M574">
        <v>1.42</v>
      </c>
      <c r="N574">
        <v>1.43</v>
      </c>
      <c r="O574">
        <v>1.41</v>
      </c>
      <c r="P574">
        <f t="shared" si="8"/>
        <v>1.4175</v>
      </c>
      <c r="Q574">
        <v>0.28221106090362258</v>
      </c>
      <c r="R574">
        <v>0.83456893076559768</v>
      </c>
      <c r="S574">
        <v>0.81234804423668705</v>
      </c>
      <c r="T574">
        <v>1.008624362161588</v>
      </c>
      <c r="U574">
        <v>7.8537787187473548E-2</v>
      </c>
      <c r="V574">
        <v>-3.7294538335902686E-3</v>
      </c>
      <c r="W574">
        <v>459</v>
      </c>
      <c r="X574">
        <v>717</v>
      </c>
      <c r="Y574">
        <v>0.68549262117738241</v>
      </c>
      <c r="Z574">
        <v>0.16399721570917777</v>
      </c>
      <c r="AB574">
        <v>39.244050142970828</v>
      </c>
      <c r="AC574">
        <v>35.125557633310933</v>
      </c>
      <c r="AD574">
        <v>447.24404507940244</v>
      </c>
      <c r="AE574" s="7" t="s">
        <v>226</v>
      </c>
    </row>
    <row r="575" spans="1:32" x14ac:dyDescent="0.3">
      <c r="A575">
        <v>573</v>
      </c>
      <c r="B575" t="s">
        <v>231</v>
      </c>
      <c r="C575" t="s">
        <v>198</v>
      </c>
      <c r="D575">
        <v>4</v>
      </c>
      <c r="F575">
        <v>10</v>
      </c>
      <c r="G575" t="s">
        <v>23</v>
      </c>
      <c r="H575" s="13"/>
      <c r="I575" s="13"/>
      <c r="J575">
        <v>0.20200000000000001</v>
      </c>
      <c r="K575">
        <v>2.4E-2</v>
      </c>
      <c r="L575">
        <v>1.71</v>
      </c>
      <c r="M575">
        <v>1.63</v>
      </c>
      <c r="N575">
        <v>1.8</v>
      </c>
      <c r="O575">
        <v>1.75</v>
      </c>
      <c r="P575">
        <f t="shared" si="8"/>
        <v>1.7224999999999999</v>
      </c>
      <c r="Q575">
        <v>0.19258188889193897</v>
      </c>
      <c r="R575">
        <v>0.60908727963724563</v>
      </c>
      <c r="S575">
        <v>0.96900697145202486</v>
      </c>
      <c r="T575">
        <v>0.95899445480689116</v>
      </c>
      <c r="U575">
        <v>0.21532047034103166</v>
      </c>
      <c r="V575">
        <v>1.8183904042820106E-2</v>
      </c>
      <c r="W575">
        <v>414</v>
      </c>
      <c r="X575">
        <v>592</v>
      </c>
      <c r="Y575">
        <v>0.74870260066703831</v>
      </c>
      <c r="Z575">
        <v>0.12569065831929324</v>
      </c>
      <c r="AB575">
        <v>28.59126494200844</v>
      </c>
      <c r="AC575">
        <v>25.590789731435198</v>
      </c>
      <c r="AD575">
        <v>118.84977629346463</v>
      </c>
      <c r="AE575" t="s">
        <v>226</v>
      </c>
    </row>
    <row r="576" spans="1:32" x14ac:dyDescent="0.3">
      <c r="A576">
        <v>574</v>
      </c>
    </row>
    <row r="577" spans="1:1" x14ac:dyDescent="0.3">
      <c r="A577">
        <v>575</v>
      </c>
    </row>
    <row r="578" spans="1:1" x14ac:dyDescent="0.3">
      <c r="A578">
        <v>576</v>
      </c>
    </row>
    <row r="579" spans="1:1" x14ac:dyDescent="0.3">
      <c r="A579">
        <v>577</v>
      </c>
    </row>
    <row r="580" spans="1:1" x14ac:dyDescent="0.3">
      <c r="A580">
        <v>578</v>
      </c>
    </row>
    <row r="581" spans="1:1" x14ac:dyDescent="0.3">
      <c r="A581">
        <v>579</v>
      </c>
    </row>
    <row r="582" spans="1:1" x14ac:dyDescent="0.3">
      <c r="A582">
        <v>580</v>
      </c>
    </row>
    <row r="583" spans="1:1" x14ac:dyDescent="0.3">
      <c r="A583">
        <v>581</v>
      </c>
    </row>
    <row r="584" spans="1:1" x14ac:dyDescent="0.3">
      <c r="A584">
        <v>582</v>
      </c>
    </row>
    <row r="585" spans="1:1" x14ac:dyDescent="0.3">
      <c r="A585">
        <v>583</v>
      </c>
    </row>
    <row r="586" spans="1:1" x14ac:dyDescent="0.3">
      <c r="A586">
        <v>584</v>
      </c>
    </row>
    <row r="587" spans="1:1" x14ac:dyDescent="0.3">
      <c r="A587">
        <v>585</v>
      </c>
    </row>
    <row r="588" spans="1:1" x14ac:dyDescent="0.3">
      <c r="A588">
        <v>586</v>
      </c>
    </row>
    <row r="589" spans="1:1" x14ac:dyDescent="0.3">
      <c r="A589">
        <v>587</v>
      </c>
    </row>
    <row r="590" spans="1:1" x14ac:dyDescent="0.3">
      <c r="A590">
        <v>588</v>
      </c>
    </row>
    <row r="591" spans="1:1" x14ac:dyDescent="0.3">
      <c r="A591">
        <v>589</v>
      </c>
    </row>
    <row r="592" spans="1:1" x14ac:dyDescent="0.3">
      <c r="A592">
        <v>590</v>
      </c>
    </row>
    <row r="593" spans="1:1" x14ac:dyDescent="0.3">
      <c r="A593">
        <v>591</v>
      </c>
    </row>
    <row r="594" spans="1:1" x14ac:dyDescent="0.3">
      <c r="A594">
        <v>592</v>
      </c>
    </row>
    <row r="595" spans="1:1" x14ac:dyDescent="0.3">
      <c r="A595">
        <v>593</v>
      </c>
    </row>
    <row r="596" spans="1:1" x14ac:dyDescent="0.3">
      <c r="A596">
        <v>594</v>
      </c>
    </row>
    <row r="597" spans="1:1" x14ac:dyDescent="0.3">
      <c r="A597">
        <v>595</v>
      </c>
    </row>
    <row r="598" spans="1:1" x14ac:dyDescent="0.3">
      <c r="A598">
        <v>596</v>
      </c>
    </row>
    <row r="599" spans="1:1" x14ac:dyDescent="0.3">
      <c r="A599">
        <v>597</v>
      </c>
    </row>
    <row r="600" spans="1:1" x14ac:dyDescent="0.3">
      <c r="A600">
        <v>598</v>
      </c>
    </row>
    <row r="601" spans="1:1" x14ac:dyDescent="0.3">
      <c r="A601">
        <v>599</v>
      </c>
    </row>
    <row r="602" spans="1:1" x14ac:dyDescent="0.3">
      <c r="A602">
        <v>600</v>
      </c>
    </row>
    <row r="603" spans="1:1" x14ac:dyDescent="0.3">
      <c r="A603">
        <v>601</v>
      </c>
    </row>
    <row r="604" spans="1:1" x14ac:dyDescent="0.3">
      <c r="A604">
        <v>602</v>
      </c>
    </row>
    <row r="605" spans="1:1" x14ac:dyDescent="0.3">
      <c r="A605">
        <v>603</v>
      </c>
    </row>
    <row r="606" spans="1:1" x14ac:dyDescent="0.3">
      <c r="A606">
        <v>604</v>
      </c>
    </row>
    <row r="607" spans="1:1" x14ac:dyDescent="0.3">
      <c r="A607">
        <v>605</v>
      </c>
    </row>
    <row r="608" spans="1:1" x14ac:dyDescent="0.3">
      <c r="A608">
        <v>606</v>
      </c>
    </row>
    <row r="609" spans="1:1" x14ac:dyDescent="0.3">
      <c r="A609">
        <v>607</v>
      </c>
    </row>
    <row r="610" spans="1:1" x14ac:dyDescent="0.3">
      <c r="A610">
        <v>608</v>
      </c>
    </row>
    <row r="611" spans="1:1" x14ac:dyDescent="0.3">
      <c r="A611">
        <v>609</v>
      </c>
    </row>
    <row r="612" spans="1:1" x14ac:dyDescent="0.3">
      <c r="A612">
        <v>610</v>
      </c>
    </row>
    <row r="613" spans="1:1" x14ac:dyDescent="0.3">
      <c r="A613">
        <v>611</v>
      </c>
    </row>
    <row r="614" spans="1:1" x14ac:dyDescent="0.3">
      <c r="A614">
        <v>612</v>
      </c>
    </row>
    <row r="615" spans="1:1" x14ac:dyDescent="0.3">
      <c r="A615">
        <v>613</v>
      </c>
    </row>
    <row r="616" spans="1:1" x14ac:dyDescent="0.3">
      <c r="A616">
        <v>614</v>
      </c>
    </row>
    <row r="617" spans="1:1" x14ac:dyDescent="0.3">
      <c r="A617">
        <v>615</v>
      </c>
    </row>
    <row r="618" spans="1:1" x14ac:dyDescent="0.3">
      <c r="A618">
        <v>616</v>
      </c>
    </row>
    <row r="619" spans="1:1" x14ac:dyDescent="0.3">
      <c r="A619">
        <v>617</v>
      </c>
    </row>
    <row r="620" spans="1:1" x14ac:dyDescent="0.3">
      <c r="A620">
        <v>618</v>
      </c>
    </row>
    <row r="621" spans="1:1" x14ac:dyDescent="0.3">
      <c r="A621">
        <v>619</v>
      </c>
    </row>
    <row r="622" spans="1:1" x14ac:dyDescent="0.3">
      <c r="A622">
        <v>620</v>
      </c>
    </row>
    <row r="623" spans="1:1" x14ac:dyDescent="0.3">
      <c r="A623">
        <v>621</v>
      </c>
    </row>
    <row r="624" spans="1:1" x14ac:dyDescent="0.3">
      <c r="A624">
        <v>622</v>
      </c>
    </row>
    <row r="625" spans="1:1" x14ac:dyDescent="0.3">
      <c r="A625">
        <v>623</v>
      </c>
    </row>
    <row r="626" spans="1:1" x14ac:dyDescent="0.3">
      <c r="A626">
        <v>624</v>
      </c>
    </row>
    <row r="627" spans="1:1" x14ac:dyDescent="0.3">
      <c r="A627">
        <v>625</v>
      </c>
    </row>
    <row r="628" spans="1:1" x14ac:dyDescent="0.3">
      <c r="A628">
        <v>626</v>
      </c>
    </row>
    <row r="629" spans="1:1" x14ac:dyDescent="0.3">
      <c r="A629">
        <v>627</v>
      </c>
    </row>
    <row r="630" spans="1:1" x14ac:dyDescent="0.3">
      <c r="A630">
        <v>628</v>
      </c>
    </row>
    <row r="631" spans="1:1" x14ac:dyDescent="0.3">
      <c r="A631">
        <v>629</v>
      </c>
    </row>
    <row r="632" spans="1:1" x14ac:dyDescent="0.3">
      <c r="A632">
        <v>630</v>
      </c>
    </row>
    <row r="633" spans="1:1" x14ac:dyDescent="0.3">
      <c r="A633">
        <v>631</v>
      </c>
    </row>
    <row r="634" spans="1:1" x14ac:dyDescent="0.3">
      <c r="A634">
        <v>632</v>
      </c>
    </row>
    <row r="635" spans="1:1" x14ac:dyDescent="0.3">
      <c r="A635">
        <v>633</v>
      </c>
    </row>
    <row r="636" spans="1:1" x14ac:dyDescent="0.3">
      <c r="A636">
        <v>634</v>
      </c>
    </row>
    <row r="637" spans="1:1" x14ac:dyDescent="0.3">
      <c r="A637">
        <v>635</v>
      </c>
    </row>
    <row r="638" spans="1:1" x14ac:dyDescent="0.3">
      <c r="A638">
        <v>636</v>
      </c>
    </row>
    <row r="639" spans="1:1" x14ac:dyDescent="0.3">
      <c r="A639">
        <v>637</v>
      </c>
    </row>
    <row r="640" spans="1:1" x14ac:dyDescent="0.3">
      <c r="A640">
        <v>638</v>
      </c>
    </row>
    <row r="641" spans="1:1" x14ac:dyDescent="0.3">
      <c r="A641">
        <v>639</v>
      </c>
    </row>
    <row r="642" spans="1:1" x14ac:dyDescent="0.3">
      <c r="A642">
        <v>640</v>
      </c>
    </row>
    <row r="643" spans="1:1" x14ac:dyDescent="0.3">
      <c r="A643">
        <v>641</v>
      </c>
    </row>
    <row r="644" spans="1:1" x14ac:dyDescent="0.3">
      <c r="A644">
        <v>642</v>
      </c>
    </row>
  </sheetData>
  <autoFilter ref="A2:AE2" xr:uid="{00000000-0001-0000-0000-000000000000}"/>
  <mergeCells count="1">
    <mergeCell ref="L1:P1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6D44-D98C-446A-B2BC-C5199B7BC9B5}">
  <dimension ref="A1:AH76"/>
  <sheetViews>
    <sheetView topLeftCell="A51" workbookViewId="0">
      <selection activeCell="K85" sqref="K85"/>
    </sheetView>
  </sheetViews>
  <sheetFormatPr baseColWidth="10" defaultRowHeight="14.4" x14ac:dyDescent="0.3"/>
  <sheetData>
    <row r="1" spans="1:34" ht="16.8" x14ac:dyDescent="0.35">
      <c r="A1" s="2" t="s">
        <v>57</v>
      </c>
      <c r="B1" s="2" t="s">
        <v>31</v>
      </c>
      <c r="C1" s="2" t="s">
        <v>32</v>
      </c>
      <c r="D1" s="2" t="s">
        <v>33</v>
      </c>
      <c r="E1" s="2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s="2" t="s">
        <v>50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  <c r="AD1" s="2" t="s">
        <v>14</v>
      </c>
      <c r="AE1" s="2" t="s">
        <v>15</v>
      </c>
      <c r="AF1" s="2" t="s">
        <v>16</v>
      </c>
      <c r="AG1" t="s">
        <v>17</v>
      </c>
      <c r="AH1" t="s">
        <v>18</v>
      </c>
    </row>
    <row r="2" spans="1:34" x14ac:dyDescent="0.3">
      <c r="A2" t="s">
        <v>58</v>
      </c>
      <c r="B2" s="5">
        <v>46184</v>
      </c>
      <c r="C2" t="s">
        <v>51</v>
      </c>
      <c r="F2" s="3">
        <v>57</v>
      </c>
      <c r="G2" s="3">
        <v>57</v>
      </c>
      <c r="J2" s="3">
        <v>50</v>
      </c>
      <c r="K2" s="3">
        <v>60</v>
      </c>
      <c r="L2" s="3">
        <v>34</v>
      </c>
      <c r="M2" s="3">
        <v>106</v>
      </c>
      <c r="N2" s="3">
        <v>109</v>
      </c>
      <c r="AB2" s="3">
        <v>2</v>
      </c>
      <c r="AC2" s="3">
        <v>2</v>
      </c>
      <c r="AF2" t="s">
        <v>52</v>
      </c>
      <c r="AG2" s="3">
        <v>564.719970703125</v>
      </c>
      <c r="AH2" s="3">
        <v>505.42999267578119</v>
      </c>
    </row>
    <row r="3" spans="1:34" x14ac:dyDescent="0.3">
      <c r="A3" t="s">
        <v>58</v>
      </c>
      <c r="B3" s="5">
        <v>46184</v>
      </c>
      <c r="C3" t="s">
        <v>53</v>
      </c>
      <c r="J3" s="3">
        <v>1530</v>
      </c>
      <c r="K3" s="3">
        <v>1371</v>
      </c>
      <c r="L3" s="3">
        <v>1188</v>
      </c>
      <c r="M3" s="3">
        <v>1235</v>
      </c>
      <c r="N3" s="3">
        <v>1244</v>
      </c>
      <c r="O3" s="3">
        <f>StandardI310-Offset310</f>
        <v>1480</v>
      </c>
      <c r="P3" s="3">
        <f>StandardI365-Offset365</f>
        <v>1311</v>
      </c>
      <c r="Q3" s="3">
        <f>StandardI450-Offset450</f>
        <v>1154</v>
      </c>
      <c r="R3" s="3">
        <f>StandardI530-Offset530</f>
        <v>1129</v>
      </c>
      <c r="S3" s="3">
        <f>StandardI615-Offset615</f>
        <v>1135</v>
      </c>
      <c r="U3" t="s">
        <v>54</v>
      </c>
      <c r="V3" s="4">
        <v>0.86299999999999999</v>
      </c>
      <c r="W3" s="4">
        <v>1.2849999999999999</v>
      </c>
      <c r="X3" s="4">
        <v>1.1599999999999999</v>
      </c>
      <c r="Y3" s="4">
        <v>0.80700000000000005</v>
      </c>
      <c r="AB3" s="3">
        <v>754</v>
      </c>
      <c r="AC3" s="3">
        <v>864</v>
      </c>
      <c r="AF3" t="s">
        <v>55</v>
      </c>
      <c r="AG3" s="3">
        <v>114.50046539306641</v>
      </c>
      <c r="AH3" s="3">
        <v>102.4899978637695</v>
      </c>
    </row>
    <row r="4" spans="1:34" x14ac:dyDescent="0.3">
      <c r="A4" t="s">
        <v>58</v>
      </c>
      <c r="B4" s="5">
        <v>46184</v>
      </c>
      <c r="AF4" t="s">
        <v>56</v>
      </c>
      <c r="AG4" s="3">
        <v>5.2781000137329102</v>
      </c>
      <c r="AH4" s="3">
        <v>4.7238998413085938</v>
      </c>
    </row>
    <row r="5" spans="1:34" x14ac:dyDescent="0.3">
      <c r="A5" t="s">
        <v>190</v>
      </c>
      <c r="B5" s="5">
        <v>46185</v>
      </c>
      <c r="C5" t="s">
        <v>51</v>
      </c>
      <c r="F5">
        <v>57</v>
      </c>
      <c r="G5">
        <v>57</v>
      </c>
      <c r="J5">
        <v>49</v>
      </c>
      <c r="K5">
        <v>60</v>
      </c>
      <c r="L5">
        <v>35</v>
      </c>
      <c r="M5">
        <v>107</v>
      </c>
      <c r="N5">
        <v>110</v>
      </c>
      <c r="AB5">
        <v>2</v>
      </c>
      <c r="AC5">
        <v>2</v>
      </c>
      <c r="AF5" t="s">
        <v>52</v>
      </c>
      <c r="AG5">
        <v>564.719970703125</v>
      </c>
      <c r="AH5">
        <v>505.42999267578119</v>
      </c>
    </row>
    <row r="6" spans="1:34" x14ac:dyDescent="0.3">
      <c r="A6" t="s">
        <v>190</v>
      </c>
      <c r="B6" s="5">
        <v>46185</v>
      </c>
      <c r="C6" t="s">
        <v>53</v>
      </c>
      <c r="J6">
        <v>1525</v>
      </c>
      <c r="K6">
        <v>1377</v>
      </c>
      <c r="L6">
        <v>1187</v>
      </c>
      <c r="M6">
        <v>1217</v>
      </c>
      <c r="N6">
        <v>1237</v>
      </c>
      <c r="O6">
        <v>1476</v>
      </c>
      <c r="P6">
        <v>1317</v>
      </c>
      <c r="Q6">
        <v>1152</v>
      </c>
      <c r="R6">
        <v>1110</v>
      </c>
      <c r="S6">
        <v>1127</v>
      </c>
      <c r="U6" t="s">
        <v>54</v>
      </c>
      <c r="V6">
        <v>0.86299999999999999</v>
      </c>
      <c r="W6">
        <v>1.2849999999999999</v>
      </c>
      <c r="X6">
        <v>1.1599999999999999</v>
      </c>
      <c r="Y6">
        <v>0.80700000000000005</v>
      </c>
      <c r="AB6">
        <v>757</v>
      </c>
      <c r="AC6">
        <v>858</v>
      </c>
      <c r="AF6" t="s">
        <v>55</v>
      </c>
      <c r="AG6">
        <v>114.50046539306641</v>
      </c>
      <c r="AH6">
        <v>102.4899978637695</v>
      </c>
    </row>
    <row r="7" spans="1:34" x14ac:dyDescent="0.3">
      <c r="A7" t="s">
        <v>190</v>
      </c>
      <c r="B7" s="5">
        <v>46185</v>
      </c>
      <c r="AF7" t="s">
        <v>56</v>
      </c>
      <c r="AG7">
        <v>5.2781000137329102</v>
      </c>
      <c r="AH7">
        <v>4.7238998413085938</v>
      </c>
    </row>
    <row r="8" spans="1:34" x14ac:dyDescent="0.3">
      <c r="A8" t="s">
        <v>193</v>
      </c>
      <c r="B8" s="5">
        <v>46188</v>
      </c>
      <c r="C8" t="s">
        <v>51</v>
      </c>
      <c r="F8">
        <v>57</v>
      </c>
      <c r="G8">
        <v>57</v>
      </c>
      <c r="J8">
        <v>51</v>
      </c>
      <c r="K8">
        <v>60</v>
      </c>
      <c r="L8">
        <v>35</v>
      </c>
      <c r="M8">
        <v>107</v>
      </c>
      <c r="N8">
        <v>110</v>
      </c>
      <c r="AB8">
        <v>1</v>
      </c>
      <c r="AC8">
        <v>1</v>
      </c>
      <c r="AF8" t="s">
        <v>52</v>
      </c>
      <c r="AG8">
        <v>564.719970703125</v>
      </c>
      <c r="AH8">
        <v>505.42999267578119</v>
      </c>
    </row>
    <row r="9" spans="1:34" x14ac:dyDescent="0.3">
      <c r="A9" t="s">
        <v>193</v>
      </c>
      <c r="B9" s="5">
        <v>46188</v>
      </c>
      <c r="C9" t="s">
        <v>53</v>
      </c>
      <c r="J9">
        <v>1505</v>
      </c>
      <c r="K9">
        <v>1379</v>
      </c>
      <c r="L9">
        <v>1184</v>
      </c>
      <c r="M9">
        <v>1216</v>
      </c>
      <c r="N9">
        <v>1224</v>
      </c>
      <c r="O9">
        <v>1454</v>
      </c>
      <c r="P9">
        <v>1319</v>
      </c>
      <c r="Q9">
        <v>1149</v>
      </c>
      <c r="R9">
        <v>1109</v>
      </c>
      <c r="S9">
        <v>1114</v>
      </c>
      <c r="U9" t="s">
        <v>54</v>
      </c>
      <c r="V9">
        <v>0.86299999999999999</v>
      </c>
      <c r="W9">
        <v>1.2849999999999999</v>
      </c>
      <c r="X9">
        <v>1.1599999999999999</v>
      </c>
      <c r="Y9">
        <v>0.80700000000000005</v>
      </c>
      <c r="AB9">
        <v>753</v>
      </c>
      <c r="AC9">
        <v>842</v>
      </c>
      <c r="AF9" t="s">
        <v>55</v>
      </c>
      <c r="AG9">
        <v>114.50046539306641</v>
      </c>
      <c r="AH9">
        <v>102.4899978637695</v>
      </c>
    </row>
    <row r="10" spans="1:34" x14ac:dyDescent="0.3">
      <c r="A10" t="s">
        <v>193</v>
      </c>
      <c r="B10" s="5">
        <v>46188</v>
      </c>
      <c r="AF10" t="s">
        <v>56</v>
      </c>
      <c r="AG10">
        <v>5.2781000137329102</v>
      </c>
      <c r="AH10">
        <v>4.7238998413085938</v>
      </c>
    </row>
    <row r="11" spans="1:34" x14ac:dyDescent="0.3">
      <c r="A11" t="s">
        <v>197</v>
      </c>
      <c r="B11" s="5">
        <v>46190</v>
      </c>
      <c r="C11" t="s">
        <v>51</v>
      </c>
      <c r="F11">
        <v>54</v>
      </c>
      <c r="G11">
        <v>54</v>
      </c>
      <c r="J11">
        <v>52</v>
      </c>
      <c r="K11">
        <v>62</v>
      </c>
      <c r="L11">
        <v>36</v>
      </c>
      <c r="M11">
        <v>101</v>
      </c>
      <c r="N11">
        <v>111</v>
      </c>
      <c r="AB11">
        <v>2</v>
      </c>
      <c r="AC11">
        <v>1</v>
      </c>
      <c r="AF11" t="s">
        <v>52</v>
      </c>
      <c r="AG11">
        <v>564.719970703125</v>
      </c>
      <c r="AH11">
        <v>505.42999267578119</v>
      </c>
    </row>
    <row r="12" spans="1:34" x14ac:dyDescent="0.3">
      <c r="A12" t="s">
        <v>197</v>
      </c>
      <c r="B12" s="5">
        <v>46190</v>
      </c>
      <c r="C12" t="s">
        <v>53</v>
      </c>
      <c r="J12">
        <v>1442</v>
      </c>
      <c r="K12">
        <v>1312</v>
      </c>
      <c r="L12">
        <v>1150</v>
      </c>
      <c r="M12">
        <v>1192</v>
      </c>
      <c r="N12">
        <v>1183</v>
      </c>
      <c r="O12">
        <v>1390</v>
      </c>
      <c r="P12">
        <v>1250</v>
      </c>
      <c r="Q12">
        <v>1114</v>
      </c>
      <c r="R12">
        <v>1091</v>
      </c>
      <c r="S12">
        <v>1072</v>
      </c>
      <c r="U12" t="s">
        <v>54</v>
      </c>
      <c r="V12">
        <v>0.86299999999999999</v>
      </c>
      <c r="W12">
        <v>1.2849999999999999</v>
      </c>
      <c r="X12">
        <v>1.1599999999999999</v>
      </c>
      <c r="Y12">
        <v>0.80700000000000005</v>
      </c>
      <c r="AB12">
        <v>742</v>
      </c>
      <c r="AC12">
        <v>832</v>
      </c>
      <c r="AF12" t="s">
        <v>55</v>
      </c>
      <c r="AG12">
        <v>114.50046539306641</v>
      </c>
      <c r="AH12">
        <v>102.4899978637695</v>
      </c>
    </row>
    <row r="13" spans="1:34" x14ac:dyDescent="0.3">
      <c r="A13" t="s">
        <v>197</v>
      </c>
      <c r="B13" s="5">
        <v>46190</v>
      </c>
      <c r="AF13" t="s">
        <v>56</v>
      </c>
      <c r="AG13">
        <v>5.2781000137329102</v>
      </c>
      <c r="AH13">
        <v>4.7238998413085938</v>
      </c>
    </row>
    <row r="14" spans="1:34" x14ac:dyDescent="0.3">
      <c r="A14" t="s">
        <v>201</v>
      </c>
      <c r="B14" s="5">
        <v>46195</v>
      </c>
      <c r="C14" t="s">
        <v>51</v>
      </c>
      <c r="F14">
        <v>56</v>
      </c>
      <c r="G14">
        <v>56</v>
      </c>
      <c r="J14">
        <v>49</v>
      </c>
      <c r="K14">
        <v>60</v>
      </c>
      <c r="L14">
        <v>34</v>
      </c>
      <c r="M14">
        <v>104</v>
      </c>
      <c r="N14">
        <v>111</v>
      </c>
      <c r="AB14">
        <v>2</v>
      </c>
      <c r="AC14">
        <v>1</v>
      </c>
      <c r="AF14" t="s">
        <v>52</v>
      </c>
      <c r="AG14">
        <v>564.719970703125</v>
      </c>
      <c r="AH14">
        <v>505.42999267578119</v>
      </c>
    </row>
    <row r="15" spans="1:34" x14ac:dyDescent="0.3">
      <c r="A15" t="s">
        <v>201</v>
      </c>
      <c r="B15" s="5">
        <v>46195</v>
      </c>
      <c r="C15" t="s">
        <v>53</v>
      </c>
      <c r="J15">
        <v>1574</v>
      </c>
      <c r="K15">
        <v>1417</v>
      </c>
      <c r="L15">
        <v>1219</v>
      </c>
      <c r="M15">
        <v>1246</v>
      </c>
      <c r="N15">
        <v>1263</v>
      </c>
      <c r="O15">
        <v>1525</v>
      </c>
      <c r="P15">
        <v>1357</v>
      </c>
      <c r="Q15">
        <v>1185</v>
      </c>
      <c r="R15">
        <v>1142</v>
      </c>
      <c r="S15">
        <v>1152</v>
      </c>
      <c r="U15" t="s">
        <v>54</v>
      </c>
      <c r="V15">
        <v>0.86299999999999999</v>
      </c>
      <c r="W15">
        <v>1.2849999999999999</v>
      </c>
      <c r="X15">
        <v>1.1599999999999999</v>
      </c>
      <c r="Y15">
        <v>0.80700000000000005</v>
      </c>
      <c r="AB15">
        <v>784</v>
      </c>
      <c r="AC15">
        <v>888</v>
      </c>
      <c r="AF15" t="s">
        <v>55</v>
      </c>
      <c r="AG15">
        <v>114.50046539306641</v>
      </c>
      <c r="AH15">
        <v>102.4899978637695</v>
      </c>
    </row>
    <row r="16" spans="1:34" x14ac:dyDescent="0.3">
      <c r="A16" t="s">
        <v>201</v>
      </c>
      <c r="B16" s="5">
        <v>46195</v>
      </c>
      <c r="AF16" t="s">
        <v>56</v>
      </c>
      <c r="AG16">
        <v>5.2781000137329102</v>
      </c>
      <c r="AH16">
        <v>4.7238998413085938</v>
      </c>
    </row>
    <row r="17" spans="1:34" x14ac:dyDescent="0.3">
      <c r="A17" t="s">
        <v>194</v>
      </c>
      <c r="B17" s="5">
        <v>46189</v>
      </c>
      <c r="C17" t="s">
        <v>51</v>
      </c>
      <c r="F17">
        <v>58</v>
      </c>
      <c r="G17">
        <v>58</v>
      </c>
      <c r="J17">
        <v>50</v>
      </c>
      <c r="K17">
        <v>62</v>
      </c>
      <c r="L17">
        <v>37</v>
      </c>
      <c r="M17">
        <v>107</v>
      </c>
      <c r="N17">
        <v>111</v>
      </c>
      <c r="AB17">
        <v>2</v>
      </c>
      <c r="AC17">
        <v>1</v>
      </c>
      <c r="AF17" t="s">
        <v>52</v>
      </c>
      <c r="AG17">
        <v>564.719970703125</v>
      </c>
      <c r="AH17">
        <v>505.42999267578119</v>
      </c>
    </row>
    <row r="18" spans="1:34" x14ac:dyDescent="0.3">
      <c r="A18" t="s">
        <v>194</v>
      </c>
      <c r="B18" s="5">
        <v>46189</v>
      </c>
      <c r="C18" t="s">
        <v>53</v>
      </c>
      <c r="J18">
        <v>1465</v>
      </c>
      <c r="K18">
        <v>1331</v>
      </c>
      <c r="L18">
        <v>1162</v>
      </c>
      <c r="M18">
        <v>1205</v>
      </c>
      <c r="N18">
        <v>1198</v>
      </c>
      <c r="O18">
        <v>1415</v>
      </c>
      <c r="P18">
        <v>1269</v>
      </c>
      <c r="Q18">
        <v>1125</v>
      </c>
      <c r="R18">
        <v>1098</v>
      </c>
      <c r="S18">
        <v>1087</v>
      </c>
      <c r="U18" t="s">
        <v>54</v>
      </c>
      <c r="V18">
        <v>0.86299999999999999</v>
      </c>
      <c r="W18">
        <v>1.2849999999999999</v>
      </c>
      <c r="X18">
        <v>1.1599999999999999</v>
      </c>
      <c r="Y18">
        <v>0.80700000000000005</v>
      </c>
      <c r="AB18">
        <v>752</v>
      </c>
      <c r="AC18">
        <v>827</v>
      </c>
      <c r="AF18" t="s">
        <v>55</v>
      </c>
      <c r="AG18">
        <v>114.50046539306641</v>
      </c>
      <c r="AH18">
        <v>102.4899978637695</v>
      </c>
    </row>
    <row r="19" spans="1:34" x14ac:dyDescent="0.3">
      <c r="A19" t="s">
        <v>194</v>
      </c>
      <c r="B19" s="5">
        <v>46189</v>
      </c>
      <c r="AF19" t="s">
        <v>56</v>
      </c>
      <c r="AG19">
        <v>5.2781000137329102</v>
      </c>
      <c r="AH19">
        <v>4.7238998413085938</v>
      </c>
    </row>
    <row r="20" spans="1:34" x14ac:dyDescent="0.3">
      <c r="A20" t="s">
        <v>199</v>
      </c>
      <c r="B20" s="5">
        <v>46191</v>
      </c>
      <c r="C20" t="s">
        <v>51</v>
      </c>
      <c r="F20">
        <v>55</v>
      </c>
      <c r="G20">
        <v>55</v>
      </c>
      <c r="J20">
        <v>51</v>
      </c>
      <c r="K20">
        <v>62</v>
      </c>
      <c r="L20">
        <v>36</v>
      </c>
      <c r="M20">
        <v>102</v>
      </c>
      <c r="N20">
        <v>112</v>
      </c>
      <c r="AB20">
        <v>2</v>
      </c>
      <c r="AC20">
        <v>1</v>
      </c>
      <c r="AF20" t="s">
        <v>52</v>
      </c>
      <c r="AG20">
        <v>564.719970703125</v>
      </c>
      <c r="AH20">
        <v>505.42999267578119</v>
      </c>
    </row>
    <row r="21" spans="1:34" x14ac:dyDescent="0.3">
      <c r="A21" t="s">
        <v>199</v>
      </c>
      <c r="B21" s="5">
        <v>46191</v>
      </c>
      <c r="C21" t="s">
        <v>53</v>
      </c>
      <c r="J21">
        <v>1449</v>
      </c>
      <c r="K21">
        <v>1316</v>
      </c>
      <c r="L21">
        <v>1156</v>
      </c>
      <c r="M21">
        <v>1194</v>
      </c>
      <c r="N21">
        <v>1183</v>
      </c>
      <c r="O21">
        <v>1398</v>
      </c>
      <c r="P21">
        <v>1254</v>
      </c>
      <c r="Q21">
        <v>1120</v>
      </c>
      <c r="R21">
        <v>1092</v>
      </c>
      <c r="S21">
        <v>1071</v>
      </c>
      <c r="U21" t="s">
        <v>54</v>
      </c>
      <c r="V21">
        <v>0.86299999999999999</v>
      </c>
      <c r="W21">
        <v>1.2849999999999999</v>
      </c>
      <c r="X21">
        <v>1.1599999999999999</v>
      </c>
      <c r="Y21">
        <v>0.80700000000000005</v>
      </c>
      <c r="AB21">
        <v>745</v>
      </c>
      <c r="AC21">
        <v>828</v>
      </c>
      <c r="AF21" t="s">
        <v>55</v>
      </c>
      <c r="AG21">
        <v>114.50046539306641</v>
      </c>
      <c r="AH21">
        <v>102.4899978637695</v>
      </c>
    </row>
    <row r="22" spans="1:34" x14ac:dyDescent="0.3">
      <c r="A22" t="s">
        <v>199</v>
      </c>
      <c r="B22" s="5">
        <v>46191</v>
      </c>
      <c r="AF22" t="s">
        <v>56</v>
      </c>
      <c r="AG22">
        <v>5.2781000137329102</v>
      </c>
      <c r="AH22">
        <v>4.7238998413085938</v>
      </c>
    </row>
    <row r="23" spans="1:34" x14ac:dyDescent="0.3">
      <c r="A23" t="s">
        <v>200</v>
      </c>
      <c r="B23" s="5">
        <v>46192</v>
      </c>
      <c r="C23" t="s">
        <v>51</v>
      </c>
      <c r="F23">
        <v>56</v>
      </c>
      <c r="G23">
        <v>56</v>
      </c>
      <c r="J23">
        <v>51</v>
      </c>
      <c r="K23">
        <v>63</v>
      </c>
      <c r="L23">
        <v>36</v>
      </c>
      <c r="M23">
        <v>103</v>
      </c>
      <c r="N23">
        <v>112</v>
      </c>
      <c r="AB23">
        <v>1</v>
      </c>
      <c r="AC23">
        <v>1</v>
      </c>
      <c r="AF23" t="s">
        <v>52</v>
      </c>
      <c r="AG23">
        <v>564.719970703125</v>
      </c>
      <c r="AH23">
        <v>505.42999267578119</v>
      </c>
    </row>
    <row r="24" spans="1:34" x14ac:dyDescent="0.3">
      <c r="A24" t="s">
        <v>200</v>
      </c>
      <c r="B24" s="5">
        <v>46192</v>
      </c>
      <c r="C24" t="s">
        <v>53</v>
      </c>
      <c r="J24">
        <v>1454</v>
      </c>
      <c r="K24">
        <v>1322</v>
      </c>
      <c r="L24">
        <v>1151</v>
      </c>
      <c r="M24">
        <v>1194</v>
      </c>
      <c r="N24">
        <v>1189</v>
      </c>
      <c r="O24">
        <v>1403</v>
      </c>
      <c r="P24">
        <v>1259</v>
      </c>
      <c r="Q24">
        <v>1115</v>
      </c>
      <c r="R24">
        <v>1091</v>
      </c>
      <c r="S24">
        <v>1077</v>
      </c>
      <c r="U24" t="s">
        <v>54</v>
      </c>
      <c r="V24">
        <v>0.86299999999999999</v>
      </c>
      <c r="W24">
        <v>1.2849999999999999</v>
      </c>
      <c r="X24">
        <v>1.1599999999999999</v>
      </c>
      <c r="Y24">
        <v>0.80700000000000005</v>
      </c>
      <c r="AB24">
        <v>733</v>
      </c>
      <c r="AC24">
        <v>815</v>
      </c>
      <c r="AF24" t="s">
        <v>55</v>
      </c>
      <c r="AG24">
        <v>114.50046539306641</v>
      </c>
      <c r="AH24">
        <v>102.4899978637695</v>
      </c>
    </row>
    <row r="25" spans="1:34" x14ac:dyDescent="0.3">
      <c r="A25" t="s">
        <v>200</v>
      </c>
      <c r="B25" s="5">
        <v>46192</v>
      </c>
      <c r="AF25" t="s">
        <v>56</v>
      </c>
      <c r="AG25">
        <v>5.2781000137329102</v>
      </c>
      <c r="AH25">
        <v>4.7238998413085938</v>
      </c>
    </row>
    <row r="26" spans="1:34" x14ac:dyDescent="0.3">
      <c r="A26" t="s">
        <v>202</v>
      </c>
      <c r="B26" s="5">
        <v>46196</v>
      </c>
      <c r="C26" t="s">
        <v>51</v>
      </c>
      <c r="F26">
        <v>56</v>
      </c>
      <c r="G26">
        <v>56</v>
      </c>
      <c r="J26">
        <v>50</v>
      </c>
      <c r="K26">
        <v>61</v>
      </c>
      <c r="L26">
        <v>35</v>
      </c>
      <c r="M26">
        <v>104</v>
      </c>
      <c r="N26">
        <v>111</v>
      </c>
      <c r="AB26">
        <v>2</v>
      </c>
      <c r="AC26">
        <v>1</v>
      </c>
      <c r="AF26" t="s">
        <v>52</v>
      </c>
      <c r="AG26">
        <v>564.719970703125</v>
      </c>
      <c r="AH26">
        <v>505.42999267578119</v>
      </c>
    </row>
    <row r="27" spans="1:34" x14ac:dyDescent="0.3">
      <c r="A27" t="s">
        <v>202</v>
      </c>
      <c r="B27" s="5">
        <v>46196</v>
      </c>
      <c r="C27" t="s">
        <v>53</v>
      </c>
      <c r="J27">
        <v>1571</v>
      </c>
      <c r="K27">
        <v>1423</v>
      </c>
      <c r="L27">
        <v>1198</v>
      </c>
      <c r="M27">
        <v>1230</v>
      </c>
      <c r="N27">
        <v>1248</v>
      </c>
      <c r="O27">
        <v>1521</v>
      </c>
      <c r="P27">
        <v>1362</v>
      </c>
      <c r="Q27">
        <v>1163</v>
      </c>
      <c r="R27">
        <v>1126</v>
      </c>
      <c r="S27">
        <v>1137</v>
      </c>
      <c r="U27" t="s">
        <v>54</v>
      </c>
      <c r="V27">
        <v>0.86299999999999999</v>
      </c>
      <c r="W27">
        <v>1.2849999999999999</v>
      </c>
      <c r="X27">
        <v>1.1599999999999999</v>
      </c>
      <c r="Y27">
        <v>0.80700000000000005</v>
      </c>
      <c r="AB27">
        <v>765</v>
      </c>
      <c r="AC27">
        <v>877</v>
      </c>
      <c r="AF27" t="s">
        <v>55</v>
      </c>
      <c r="AG27">
        <v>114.50046539306641</v>
      </c>
      <c r="AH27">
        <v>102.4899978637695</v>
      </c>
    </row>
    <row r="28" spans="1:34" x14ac:dyDescent="0.3">
      <c r="A28" t="s">
        <v>202</v>
      </c>
      <c r="B28" s="5">
        <v>46196</v>
      </c>
      <c r="AF28" t="s">
        <v>56</v>
      </c>
      <c r="AG28">
        <v>5.2781000137329102</v>
      </c>
      <c r="AH28">
        <v>4.7238998413085938</v>
      </c>
    </row>
    <row r="29" spans="1:34" x14ac:dyDescent="0.3">
      <c r="A29" t="s">
        <v>203</v>
      </c>
      <c r="B29" s="5">
        <v>46197</v>
      </c>
      <c r="C29" t="s">
        <v>51</v>
      </c>
      <c r="F29">
        <v>56</v>
      </c>
      <c r="G29">
        <v>56</v>
      </c>
      <c r="J29">
        <v>48</v>
      </c>
      <c r="K29">
        <v>58</v>
      </c>
      <c r="L29">
        <v>34</v>
      </c>
      <c r="M29">
        <v>104</v>
      </c>
      <c r="N29">
        <v>111</v>
      </c>
      <c r="AB29">
        <v>2</v>
      </c>
      <c r="AC29">
        <v>1</v>
      </c>
      <c r="AF29" t="s">
        <v>52</v>
      </c>
      <c r="AG29">
        <v>564.719970703125</v>
      </c>
      <c r="AH29">
        <v>505.42999267578119</v>
      </c>
    </row>
    <row r="30" spans="1:34" x14ac:dyDescent="0.3">
      <c r="A30" t="s">
        <v>203</v>
      </c>
      <c r="B30" s="5">
        <v>46197</v>
      </c>
      <c r="C30" t="s">
        <v>53</v>
      </c>
      <c r="J30">
        <v>1597</v>
      </c>
      <c r="K30">
        <v>1446</v>
      </c>
      <c r="L30">
        <v>1232</v>
      </c>
      <c r="M30">
        <v>1266</v>
      </c>
      <c r="N30">
        <v>1281</v>
      </c>
      <c r="O30">
        <v>1549</v>
      </c>
      <c r="P30">
        <v>1388</v>
      </c>
      <c r="Q30">
        <v>1198</v>
      </c>
      <c r="R30">
        <v>1162</v>
      </c>
      <c r="S30">
        <v>1170</v>
      </c>
      <c r="U30" t="s">
        <v>54</v>
      </c>
      <c r="V30">
        <v>0.86299999999999999</v>
      </c>
      <c r="W30">
        <v>1.2849999999999999</v>
      </c>
      <c r="X30">
        <v>1.1599999999999999</v>
      </c>
      <c r="Y30">
        <v>0.80700000000000005</v>
      </c>
      <c r="AB30">
        <v>782</v>
      </c>
      <c r="AC30">
        <v>889</v>
      </c>
      <c r="AF30" t="s">
        <v>55</v>
      </c>
      <c r="AG30">
        <v>114.50046539306641</v>
      </c>
      <c r="AH30">
        <v>102.4899978637695</v>
      </c>
    </row>
    <row r="31" spans="1:34" x14ac:dyDescent="0.3">
      <c r="A31" t="s">
        <v>203</v>
      </c>
      <c r="B31" s="5">
        <v>46197</v>
      </c>
      <c r="AF31" t="s">
        <v>56</v>
      </c>
      <c r="AG31">
        <v>5.2781000137329102</v>
      </c>
      <c r="AH31">
        <v>4.7238998413085938</v>
      </c>
    </row>
    <row r="32" spans="1:34" x14ac:dyDescent="0.3">
      <c r="A32" t="s">
        <v>205</v>
      </c>
      <c r="B32" s="5">
        <v>46198</v>
      </c>
      <c r="C32" t="s">
        <v>51</v>
      </c>
      <c r="F32">
        <v>57</v>
      </c>
      <c r="G32">
        <v>57</v>
      </c>
      <c r="J32">
        <v>49</v>
      </c>
      <c r="K32">
        <v>60</v>
      </c>
      <c r="L32">
        <v>34</v>
      </c>
      <c r="M32">
        <v>106</v>
      </c>
      <c r="N32">
        <v>111</v>
      </c>
      <c r="AB32">
        <v>2</v>
      </c>
      <c r="AC32">
        <v>2</v>
      </c>
      <c r="AF32" t="s">
        <v>52</v>
      </c>
      <c r="AG32">
        <v>564.719970703125</v>
      </c>
      <c r="AH32">
        <v>505.42999267578119</v>
      </c>
    </row>
    <row r="33" spans="1:34" x14ac:dyDescent="0.3">
      <c r="A33" t="s">
        <v>205</v>
      </c>
      <c r="B33" s="5">
        <v>46198</v>
      </c>
      <c r="C33" t="s">
        <v>53</v>
      </c>
      <c r="J33">
        <v>1598</v>
      </c>
      <c r="K33">
        <v>1453</v>
      </c>
      <c r="L33">
        <v>1233</v>
      </c>
      <c r="M33">
        <v>1271</v>
      </c>
      <c r="N33">
        <v>1284</v>
      </c>
      <c r="O33">
        <v>1549</v>
      </c>
      <c r="P33">
        <v>1393</v>
      </c>
      <c r="Q33">
        <v>1199</v>
      </c>
      <c r="R33">
        <v>1165</v>
      </c>
      <c r="S33">
        <v>1173</v>
      </c>
      <c r="U33" t="s">
        <v>54</v>
      </c>
      <c r="V33">
        <v>0.86299999999999999</v>
      </c>
      <c r="W33">
        <v>1.2849999999999999</v>
      </c>
      <c r="X33">
        <v>1.1599999999999999</v>
      </c>
      <c r="Y33">
        <v>0.80700000000000005</v>
      </c>
      <c r="AB33">
        <v>782</v>
      </c>
      <c r="AC33">
        <v>896</v>
      </c>
      <c r="AF33" t="s">
        <v>55</v>
      </c>
      <c r="AG33">
        <v>114.50046539306641</v>
      </c>
      <c r="AH33">
        <v>102.4899978637695</v>
      </c>
    </row>
    <row r="34" spans="1:34" x14ac:dyDescent="0.3">
      <c r="A34" t="s">
        <v>205</v>
      </c>
      <c r="B34" s="5">
        <v>46198</v>
      </c>
      <c r="AF34" t="s">
        <v>56</v>
      </c>
      <c r="AG34">
        <v>5.2781000137329102</v>
      </c>
      <c r="AH34">
        <v>4.7238998413085938</v>
      </c>
    </row>
    <row r="35" spans="1:34" x14ac:dyDescent="0.3">
      <c r="A35" t="s">
        <v>204</v>
      </c>
      <c r="B35" s="5">
        <v>46198</v>
      </c>
      <c r="C35" t="s">
        <v>51</v>
      </c>
      <c r="F35">
        <v>57</v>
      </c>
      <c r="G35">
        <v>57</v>
      </c>
      <c r="J35">
        <v>49</v>
      </c>
      <c r="K35">
        <v>60</v>
      </c>
      <c r="L35">
        <v>34</v>
      </c>
      <c r="M35">
        <v>106</v>
      </c>
      <c r="N35">
        <v>111</v>
      </c>
      <c r="AB35">
        <v>2</v>
      </c>
      <c r="AC35">
        <v>2</v>
      </c>
      <c r="AF35" t="s">
        <v>52</v>
      </c>
      <c r="AG35">
        <v>564.719970703125</v>
      </c>
      <c r="AH35">
        <v>505.42999267578119</v>
      </c>
    </row>
    <row r="36" spans="1:34" x14ac:dyDescent="0.3">
      <c r="A36" t="s">
        <v>204</v>
      </c>
      <c r="B36" s="5">
        <v>46198</v>
      </c>
      <c r="C36" t="s">
        <v>53</v>
      </c>
      <c r="J36">
        <v>1598</v>
      </c>
      <c r="K36">
        <v>1453</v>
      </c>
      <c r="L36">
        <v>1233</v>
      </c>
      <c r="M36">
        <v>1271</v>
      </c>
      <c r="N36">
        <v>1284</v>
      </c>
      <c r="O36">
        <v>1549</v>
      </c>
      <c r="P36">
        <v>1393</v>
      </c>
      <c r="Q36">
        <v>1199</v>
      </c>
      <c r="R36">
        <v>1165</v>
      </c>
      <c r="S36">
        <v>1173</v>
      </c>
      <c r="U36" t="s">
        <v>54</v>
      </c>
      <c r="V36">
        <v>0.86299999999999999</v>
      </c>
      <c r="W36">
        <v>1.2849999999999999</v>
      </c>
      <c r="X36">
        <v>1.1599999999999999</v>
      </c>
      <c r="Y36">
        <v>0.80700000000000005</v>
      </c>
      <c r="AB36">
        <v>782</v>
      </c>
      <c r="AC36">
        <v>896</v>
      </c>
      <c r="AF36" t="s">
        <v>55</v>
      </c>
      <c r="AG36">
        <v>114.50046539306641</v>
      </c>
      <c r="AH36">
        <v>102.4899978637695</v>
      </c>
    </row>
    <row r="37" spans="1:34" x14ac:dyDescent="0.3">
      <c r="A37" t="s">
        <v>204</v>
      </c>
      <c r="B37" s="5">
        <v>46198</v>
      </c>
      <c r="AF37" t="s">
        <v>56</v>
      </c>
      <c r="AG37">
        <v>5.2781000137329102</v>
      </c>
      <c r="AH37">
        <v>4.7238998413085938</v>
      </c>
    </row>
    <row r="38" spans="1:34" x14ac:dyDescent="0.3">
      <c r="A38" t="s">
        <v>216</v>
      </c>
      <c r="B38" s="5">
        <v>46202</v>
      </c>
      <c r="C38" t="s">
        <v>51</v>
      </c>
      <c r="F38">
        <v>55</v>
      </c>
      <c r="G38">
        <v>55</v>
      </c>
      <c r="J38">
        <v>51</v>
      </c>
      <c r="K38">
        <v>61</v>
      </c>
      <c r="L38">
        <v>35</v>
      </c>
      <c r="M38">
        <v>103</v>
      </c>
      <c r="N38">
        <v>112</v>
      </c>
      <c r="AB38">
        <v>2</v>
      </c>
      <c r="AC38">
        <v>1</v>
      </c>
      <c r="AF38" t="s">
        <v>52</v>
      </c>
      <c r="AG38">
        <v>564.719970703125</v>
      </c>
      <c r="AH38">
        <v>505.42999267578119</v>
      </c>
    </row>
    <row r="39" spans="1:34" x14ac:dyDescent="0.3">
      <c r="A39" t="s">
        <v>216</v>
      </c>
      <c r="B39" s="5">
        <v>46202</v>
      </c>
      <c r="C39" t="s">
        <v>53</v>
      </c>
      <c r="J39">
        <v>1583</v>
      </c>
      <c r="K39">
        <v>1446</v>
      </c>
      <c r="L39">
        <v>1224</v>
      </c>
      <c r="M39">
        <v>1248</v>
      </c>
      <c r="N39">
        <v>1276</v>
      </c>
      <c r="O39">
        <v>1532</v>
      </c>
      <c r="P39">
        <v>1385</v>
      </c>
      <c r="Q39">
        <v>1189</v>
      </c>
      <c r="R39">
        <v>1145</v>
      </c>
      <c r="S39">
        <v>1164</v>
      </c>
      <c r="U39" t="s">
        <v>54</v>
      </c>
      <c r="V39">
        <v>0.86299999999999999</v>
      </c>
      <c r="W39">
        <v>1.2849999999999999</v>
      </c>
      <c r="X39">
        <v>1.1599999999999999</v>
      </c>
      <c r="Y39">
        <v>0.80700000000000005</v>
      </c>
      <c r="AB39">
        <v>778</v>
      </c>
      <c r="AC39">
        <v>891</v>
      </c>
      <c r="AF39" t="s">
        <v>55</v>
      </c>
      <c r="AG39">
        <v>114.50046539306641</v>
      </c>
      <c r="AH39">
        <v>102.4899978637695</v>
      </c>
    </row>
    <row r="40" spans="1:34" x14ac:dyDescent="0.3">
      <c r="A40" t="s">
        <v>216</v>
      </c>
      <c r="B40" s="5">
        <v>46202</v>
      </c>
      <c r="AF40" t="s">
        <v>56</v>
      </c>
      <c r="AG40">
        <v>5.2781000137329102</v>
      </c>
      <c r="AH40">
        <v>4.7238998413085938</v>
      </c>
    </row>
    <row r="41" spans="1:34" x14ac:dyDescent="0.3">
      <c r="A41" t="s">
        <v>217</v>
      </c>
      <c r="B41" s="5">
        <v>46203</v>
      </c>
      <c r="C41" t="s">
        <v>51</v>
      </c>
      <c r="F41">
        <v>55</v>
      </c>
      <c r="G41">
        <v>55</v>
      </c>
      <c r="J41">
        <v>45</v>
      </c>
      <c r="K41">
        <v>57</v>
      </c>
      <c r="L41">
        <v>33</v>
      </c>
      <c r="M41">
        <v>101</v>
      </c>
      <c r="N41">
        <v>109</v>
      </c>
      <c r="AB41">
        <v>2</v>
      </c>
      <c r="AC41">
        <v>2</v>
      </c>
      <c r="AF41" t="s">
        <v>52</v>
      </c>
      <c r="AG41">
        <v>564.719970703125</v>
      </c>
      <c r="AH41">
        <v>505.42999267578119</v>
      </c>
    </row>
    <row r="42" spans="1:34" x14ac:dyDescent="0.3">
      <c r="A42" t="s">
        <v>217</v>
      </c>
      <c r="B42" s="5">
        <v>46203</v>
      </c>
      <c r="C42" t="s">
        <v>53</v>
      </c>
      <c r="J42">
        <v>1542</v>
      </c>
      <c r="K42">
        <v>1395</v>
      </c>
      <c r="L42">
        <v>1197</v>
      </c>
      <c r="M42">
        <v>1214</v>
      </c>
      <c r="N42">
        <v>1212</v>
      </c>
      <c r="O42">
        <v>1497</v>
      </c>
      <c r="P42">
        <v>1338</v>
      </c>
      <c r="Q42">
        <v>1164</v>
      </c>
      <c r="R42">
        <v>1113</v>
      </c>
      <c r="S42">
        <v>1103</v>
      </c>
      <c r="U42" t="s">
        <v>54</v>
      </c>
      <c r="V42">
        <v>0.86299999999999999</v>
      </c>
      <c r="W42">
        <v>1.2849999999999999</v>
      </c>
      <c r="X42">
        <v>1.1599999999999999</v>
      </c>
      <c r="Y42">
        <v>0.80700000000000005</v>
      </c>
      <c r="AB42">
        <v>893</v>
      </c>
      <c r="AC42">
        <v>889</v>
      </c>
      <c r="AF42" t="s">
        <v>55</v>
      </c>
      <c r="AG42">
        <v>114.50046539306641</v>
      </c>
      <c r="AH42">
        <v>102.4899978637695</v>
      </c>
    </row>
    <row r="43" spans="1:34" x14ac:dyDescent="0.3">
      <c r="A43" t="s">
        <v>217</v>
      </c>
      <c r="B43" s="5">
        <v>46203</v>
      </c>
      <c r="AF43" t="s">
        <v>56</v>
      </c>
      <c r="AG43">
        <v>5.2781000137329102</v>
      </c>
      <c r="AH43">
        <v>4.7238998413085938</v>
      </c>
    </row>
    <row r="44" spans="1:34" x14ac:dyDescent="0.3">
      <c r="A44" t="s">
        <v>218</v>
      </c>
      <c r="B44" s="5">
        <v>46204</v>
      </c>
      <c r="C44" t="s">
        <v>51</v>
      </c>
      <c r="F44">
        <v>53</v>
      </c>
      <c r="G44">
        <v>53</v>
      </c>
      <c r="J44">
        <v>44</v>
      </c>
      <c r="K44">
        <v>54</v>
      </c>
      <c r="L44">
        <v>31</v>
      </c>
      <c r="M44">
        <v>99</v>
      </c>
      <c r="N44">
        <v>108</v>
      </c>
      <c r="AB44">
        <v>2</v>
      </c>
      <c r="AC44">
        <v>1</v>
      </c>
      <c r="AF44" t="s">
        <v>52</v>
      </c>
      <c r="AG44">
        <v>564.719970703125</v>
      </c>
      <c r="AH44">
        <v>505.42999267578119</v>
      </c>
    </row>
    <row r="45" spans="1:34" x14ac:dyDescent="0.3">
      <c r="A45" t="s">
        <v>218</v>
      </c>
      <c r="B45" s="5">
        <v>46204</v>
      </c>
      <c r="C45" t="s">
        <v>53</v>
      </c>
      <c r="J45">
        <v>1548</v>
      </c>
      <c r="K45">
        <v>1407</v>
      </c>
      <c r="L45">
        <v>1201</v>
      </c>
      <c r="M45">
        <v>1226</v>
      </c>
      <c r="N45">
        <v>1227</v>
      </c>
      <c r="O45">
        <v>1504</v>
      </c>
      <c r="P45">
        <v>1353</v>
      </c>
      <c r="Q45">
        <v>1170</v>
      </c>
      <c r="R45">
        <v>1127</v>
      </c>
      <c r="S45">
        <v>1119</v>
      </c>
      <c r="U45" t="s">
        <v>54</v>
      </c>
      <c r="V45">
        <v>0.86299999999999999</v>
      </c>
      <c r="W45">
        <v>1.2849999999999999</v>
      </c>
      <c r="X45">
        <v>1.1599999999999999</v>
      </c>
      <c r="Y45">
        <v>0.80700000000000005</v>
      </c>
      <c r="AB45">
        <v>893</v>
      </c>
      <c r="AC45">
        <v>888</v>
      </c>
      <c r="AF45" t="s">
        <v>55</v>
      </c>
      <c r="AG45">
        <v>114.50046539306641</v>
      </c>
      <c r="AH45">
        <v>102.4899978637695</v>
      </c>
    </row>
    <row r="46" spans="1:34" x14ac:dyDescent="0.3">
      <c r="A46" t="s">
        <v>218</v>
      </c>
      <c r="B46" s="5">
        <v>46204</v>
      </c>
      <c r="AF46" t="s">
        <v>56</v>
      </c>
      <c r="AG46">
        <v>5.2781000137329102</v>
      </c>
      <c r="AH46">
        <v>4.7238998413085938</v>
      </c>
    </row>
    <row r="47" spans="1:34" x14ac:dyDescent="0.3">
      <c r="A47" t="s">
        <v>219</v>
      </c>
      <c r="B47" s="5">
        <v>46205</v>
      </c>
      <c r="C47" t="s">
        <v>51</v>
      </c>
      <c r="F47">
        <v>56</v>
      </c>
      <c r="G47">
        <v>56</v>
      </c>
      <c r="J47">
        <v>47</v>
      </c>
      <c r="K47">
        <v>57</v>
      </c>
      <c r="L47">
        <v>34</v>
      </c>
      <c r="M47">
        <v>104</v>
      </c>
      <c r="N47">
        <v>110</v>
      </c>
      <c r="AB47">
        <v>2</v>
      </c>
      <c r="AC47">
        <v>1</v>
      </c>
      <c r="AF47" t="s">
        <v>52</v>
      </c>
      <c r="AG47">
        <v>564.719970703125</v>
      </c>
      <c r="AH47">
        <v>505.42999267578119</v>
      </c>
    </row>
    <row r="48" spans="1:34" x14ac:dyDescent="0.3">
      <c r="A48" t="s">
        <v>219</v>
      </c>
      <c r="B48" s="5">
        <v>46205</v>
      </c>
      <c r="C48" t="s">
        <v>53</v>
      </c>
      <c r="J48">
        <v>1564</v>
      </c>
      <c r="K48">
        <v>1415</v>
      </c>
      <c r="L48">
        <v>1203</v>
      </c>
      <c r="M48">
        <v>1230</v>
      </c>
      <c r="N48">
        <v>1249</v>
      </c>
      <c r="O48">
        <v>1517</v>
      </c>
      <c r="P48">
        <v>1358</v>
      </c>
      <c r="Q48">
        <v>1169</v>
      </c>
      <c r="R48">
        <v>1126</v>
      </c>
      <c r="S48">
        <v>1139</v>
      </c>
      <c r="U48" t="s">
        <v>54</v>
      </c>
      <c r="V48">
        <v>0.86299999999999999</v>
      </c>
      <c r="W48">
        <v>1.2849999999999999</v>
      </c>
      <c r="X48">
        <v>1.1599999999999999</v>
      </c>
      <c r="Y48">
        <v>0.80700000000000005</v>
      </c>
      <c r="AB48">
        <v>797</v>
      </c>
      <c r="AC48">
        <v>884</v>
      </c>
      <c r="AF48" t="s">
        <v>55</v>
      </c>
      <c r="AG48">
        <v>114.50046539306641</v>
      </c>
      <c r="AH48">
        <v>102.4899978637695</v>
      </c>
    </row>
    <row r="49" spans="1:34" x14ac:dyDescent="0.3">
      <c r="A49" t="s">
        <v>219</v>
      </c>
      <c r="B49" s="5">
        <v>46205</v>
      </c>
      <c r="AF49" t="s">
        <v>56</v>
      </c>
      <c r="AG49">
        <v>5.2781000137329102</v>
      </c>
      <c r="AH49">
        <v>4.7238998413085938</v>
      </c>
    </row>
    <row r="50" spans="1:34" x14ac:dyDescent="0.3">
      <c r="A50" t="s">
        <v>220</v>
      </c>
      <c r="B50" s="5">
        <v>46206</v>
      </c>
      <c r="C50" t="s">
        <v>51</v>
      </c>
      <c r="F50">
        <v>54</v>
      </c>
      <c r="G50">
        <v>54</v>
      </c>
      <c r="J50">
        <v>47</v>
      </c>
      <c r="K50">
        <v>58</v>
      </c>
      <c r="L50">
        <v>33</v>
      </c>
      <c r="M50">
        <v>101</v>
      </c>
      <c r="N50">
        <v>111</v>
      </c>
      <c r="AB50">
        <v>2</v>
      </c>
      <c r="AC50">
        <v>2</v>
      </c>
      <c r="AF50" t="s">
        <v>52</v>
      </c>
      <c r="AG50">
        <v>564.719970703125</v>
      </c>
      <c r="AH50">
        <v>505.42999267578119</v>
      </c>
    </row>
    <row r="51" spans="1:34" x14ac:dyDescent="0.3">
      <c r="A51" t="s">
        <v>220</v>
      </c>
      <c r="B51" s="5">
        <v>46206</v>
      </c>
      <c r="C51" t="s">
        <v>53</v>
      </c>
      <c r="J51">
        <v>1572</v>
      </c>
      <c r="K51">
        <v>1430</v>
      </c>
      <c r="L51">
        <v>1213</v>
      </c>
      <c r="M51">
        <v>1230</v>
      </c>
      <c r="N51">
        <v>1255</v>
      </c>
      <c r="O51">
        <v>1525</v>
      </c>
      <c r="P51">
        <v>1372</v>
      </c>
      <c r="Q51">
        <v>1180</v>
      </c>
      <c r="R51">
        <v>1129</v>
      </c>
      <c r="S51">
        <v>1144</v>
      </c>
      <c r="U51" t="s">
        <v>54</v>
      </c>
      <c r="V51">
        <v>0.86299999999999999</v>
      </c>
      <c r="W51">
        <v>1.2849999999999999</v>
      </c>
      <c r="X51">
        <v>1.1599999999999999</v>
      </c>
      <c r="Y51">
        <v>0.80700000000000005</v>
      </c>
      <c r="AB51">
        <v>793</v>
      </c>
      <c r="AC51">
        <v>884</v>
      </c>
      <c r="AF51" t="s">
        <v>55</v>
      </c>
      <c r="AG51">
        <v>114.50046539306641</v>
      </c>
      <c r="AH51">
        <v>102.4899978637695</v>
      </c>
    </row>
    <row r="52" spans="1:34" x14ac:dyDescent="0.3">
      <c r="A52" t="s">
        <v>220</v>
      </c>
      <c r="B52" s="5">
        <v>46206</v>
      </c>
      <c r="AF52" t="s">
        <v>56</v>
      </c>
      <c r="AG52">
        <v>5.2781000137329102</v>
      </c>
      <c r="AH52">
        <v>4.7238998413085938</v>
      </c>
    </row>
    <row r="53" spans="1:34" x14ac:dyDescent="0.3">
      <c r="A53" t="s">
        <v>221</v>
      </c>
      <c r="B53" s="5">
        <v>46209</v>
      </c>
      <c r="C53" t="s">
        <v>51</v>
      </c>
      <c r="F53">
        <v>55</v>
      </c>
      <c r="G53">
        <v>55</v>
      </c>
      <c r="J53">
        <v>48</v>
      </c>
      <c r="K53">
        <v>57</v>
      </c>
      <c r="L53">
        <v>33</v>
      </c>
      <c r="M53">
        <v>104</v>
      </c>
      <c r="N53">
        <v>112</v>
      </c>
      <c r="AB53">
        <v>2</v>
      </c>
      <c r="AC53">
        <v>1</v>
      </c>
      <c r="AF53" t="s">
        <v>52</v>
      </c>
      <c r="AG53">
        <v>564.719970703125</v>
      </c>
      <c r="AH53">
        <v>505.42999267578119</v>
      </c>
    </row>
    <row r="54" spans="1:34" x14ac:dyDescent="0.3">
      <c r="A54" t="s">
        <v>221</v>
      </c>
      <c r="B54" s="5">
        <v>46209</v>
      </c>
      <c r="C54" t="s">
        <v>53</v>
      </c>
      <c r="J54">
        <v>1573</v>
      </c>
      <c r="K54">
        <v>1426</v>
      </c>
      <c r="L54">
        <v>1218</v>
      </c>
      <c r="M54">
        <v>1245</v>
      </c>
      <c r="N54">
        <v>1261</v>
      </c>
      <c r="O54">
        <v>1525</v>
      </c>
      <c r="P54">
        <v>1369</v>
      </c>
      <c r="Q54">
        <v>1185</v>
      </c>
      <c r="R54">
        <v>1141</v>
      </c>
      <c r="S54">
        <v>1149</v>
      </c>
      <c r="U54" t="s">
        <v>54</v>
      </c>
      <c r="V54">
        <v>0.86299999999999999</v>
      </c>
      <c r="W54">
        <v>1.2849999999999999</v>
      </c>
      <c r="X54">
        <v>1.1599999999999999</v>
      </c>
      <c r="Y54">
        <v>0.80700000000000005</v>
      </c>
      <c r="AB54">
        <v>802</v>
      </c>
      <c r="AC54">
        <v>897</v>
      </c>
      <c r="AF54" t="s">
        <v>55</v>
      </c>
      <c r="AG54">
        <v>114.50046539306641</v>
      </c>
      <c r="AH54">
        <v>102.4899978637695</v>
      </c>
    </row>
    <row r="55" spans="1:34" x14ac:dyDescent="0.3">
      <c r="A55" t="s">
        <v>221</v>
      </c>
      <c r="B55" s="5">
        <v>46209</v>
      </c>
      <c r="AF55" t="s">
        <v>56</v>
      </c>
      <c r="AG55">
        <v>5.2781000137329102</v>
      </c>
      <c r="AH55">
        <v>4.7238998413085938</v>
      </c>
    </row>
    <row r="56" spans="1:34" x14ac:dyDescent="0.3">
      <c r="A56" t="s">
        <v>222</v>
      </c>
      <c r="B56" s="5">
        <v>46210</v>
      </c>
      <c r="C56" t="s">
        <v>51</v>
      </c>
      <c r="F56">
        <v>56</v>
      </c>
      <c r="G56">
        <v>56</v>
      </c>
      <c r="J56">
        <v>47</v>
      </c>
      <c r="K56">
        <v>57</v>
      </c>
      <c r="L56">
        <v>34</v>
      </c>
      <c r="M56">
        <v>104</v>
      </c>
      <c r="N56">
        <v>111</v>
      </c>
      <c r="AB56">
        <v>2</v>
      </c>
      <c r="AC56">
        <v>1</v>
      </c>
      <c r="AF56" t="s">
        <v>52</v>
      </c>
      <c r="AG56">
        <v>564.719970703125</v>
      </c>
      <c r="AH56">
        <v>505.42999267578119</v>
      </c>
    </row>
    <row r="57" spans="1:34" x14ac:dyDescent="0.3">
      <c r="A57" t="s">
        <v>222</v>
      </c>
      <c r="B57" s="5">
        <v>46210</v>
      </c>
      <c r="C57" t="s">
        <v>53</v>
      </c>
      <c r="J57">
        <v>1551</v>
      </c>
      <c r="K57">
        <v>1406</v>
      </c>
      <c r="L57">
        <v>1201</v>
      </c>
      <c r="M57">
        <v>1224</v>
      </c>
      <c r="N57">
        <v>1236</v>
      </c>
      <c r="O57">
        <v>1504</v>
      </c>
      <c r="P57">
        <v>1349</v>
      </c>
      <c r="Q57">
        <v>1167</v>
      </c>
      <c r="R57">
        <v>1120</v>
      </c>
      <c r="S57">
        <v>1125</v>
      </c>
      <c r="U57" t="s">
        <v>54</v>
      </c>
      <c r="V57">
        <v>0.86299999999999999</v>
      </c>
      <c r="W57">
        <v>1.2849999999999999</v>
      </c>
      <c r="X57">
        <v>1.1599999999999999</v>
      </c>
      <c r="Y57">
        <v>0.80700000000000005</v>
      </c>
      <c r="AB57">
        <v>819</v>
      </c>
      <c r="AC57">
        <v>892</v>
      </c>
      <c r="AF57" t="s">
        <v>55</v>
      </c>
      <c r="AG57">
        <v>114.50046539306641</v>
      </c>
      <c r="AH57">
        <v>102.4899978637695</v>
      </c>
    </row>
    <row r="58" spans="1:34" x14ac:dyDescent="0.3">
      <c r="A58" t="s">
        <v>222</v>
      </c>
      <c r="B58" s="5">
        <v>46210</v>
      </c>
      <c r="AF58" t="s">
        <v>56</v>
      </c>
      <c r="AG58">
        <v>5.2781000137329102</v>
      </c>
      <c r="AH58">
        <v>4.7238998413085938</v>
      </c>
    </row>
    <row r="59" spans="1:34" x14ac:dyDescent="0.3">
      <c r="A59" t="s">
        <v>223</v>
      </c>
      <c r="B59" s="5">
        <v>46211</v>
      </c>
      <c r="C59" t="s">
        <v>51</v>
      </c>
      <c r="F59">
        <v>57</v>
      </c>
      <c r="G59">
        <v>57</v>
      </c>
      <c r="J59">
        <v>48</v>
      </c>
      <c r="K59">
        <v>59</v>
      </c>
      <c r="L59">
        <v>34</v>
      </c>
      <c r="M59">
        <v>106</v>
      </c>
      <c r="N59">
        <v>112</v>
      </c>
      <c r="AB59">
        <v>2</v>
      </c>
      <c r="AC59">
        <v>1</v>
      </c>
      <c r="AF59" t="s">
        <v>52</v>
      </c>
      <c r="AG59">
        <v>564.719970703125</v>
      </c>
      <c r="AH59">
        <v>505.42999267578119</v>
      </c>
    </row>
    <row r="60" spans="1:34" x14ac:dyDescent="0.3">
      <c r="A60" t="s">
        <v>223</v>
      </c>
      <c r="B60" s="5">
        <v>46211</v>
      </c>
      <c r="C60" t="s">
        <v>53</v>
      </c>
      <c r="J60">
        <v>1531</v>
      </c>
      <c r="K60">
        <v>1392</v>
      </c>
      <c r="L60">
        <v>1178</v>
      </c>
      <c r="M60">
        <v>1215</v>
      </c>
      <c r="N60">
        <v>1231</v>
      </c>
      <c r="O60">
        <v>1483</v>
      </c>
      <c r="P60">
        <v>1333</v>
      </c>
      <c r="Q60">
        <v>1144</v>
      </c>
      <c r="R60">
        <v>1109</v>
      </c>
      <c r="S60">
        <v>1119</v>
      </c>
      <c r="U60" t="s">
        <v>54</v>
      </c>
      <c r="V60">
        <v>0.86299999999999999</v>
      </c>
      <c r="W60">
        <v>1.2849999999999999</v>
      </c>
      <c r="X60">
        <v>1.1599999999999999</v>
      </c>
      <c r="Y60">
        <v>0.80700000000000005</v>
      </c>
      <c r="AB60">
        <v>784</v>
      </c>
      <c r="AC60">
        <v>871</v>
      </c>
      <c r="AF60" t="s">
        <v>55</v>
      </c>
      <c r="AG60">
        <v>114.50046539306641</v>
      </c>
      <c r="AH60">
        <v>102.4899978637695</v>
      </c>
    </row>
    <row r="61" spans="1:34" x14ac:dyDescent="0.3">
      <c r="A61" t="s">
        <v>223</v>
      </c>
      <c r="B61" s="5">
        <v>46211</v>
      </c>
      <c r="AF61" t="s">
        <v>56</v>
      </c>
      <c r="AG61">
        <v>5.2781000137329102</v>
      </c>
      <c r="AH61">
        <v>4.7238998413085938</v>
      </c>
    </row>
    <row r="62" spans="1:34" x14ac:dyDescent="0.3">
      <c r="A62" t="s">
        <v>224</v>
      </c>
      <c r="B62" s="5">
        <v>46211</v>
      </c>
      <c r="C62" t="s">
        <v>51</v>
      </c>
      <c r="F62">
        <v>57</v>
      </c>
      <c r="G62">
        <v>57</v>
      </c>
      <c r="J62">
        <v>48</v>
      </c>
      <c r="K62">
        <v>59</v>
      </c>
      <c r="L62">
        <v>34</v>
      </c>
      <c r="M62">
        <v>106</v>
      </c>
      <c r="N62">
        <v>112</v>
      </c>
      <c r="AB62">
        <v>2</v>
      </c>
      <c r="AC62">
        <v>1</v>
      </c>
      <c r="AF62" t="s">
        <v>52</v>
      </c>
      <c r="AG62">
        <v>564.719970703125</v>
      </c>
      <c r="AH62">
        <v>505.42999267578119</v>
      </c>
    </row>
    <row r="63" spans="1:34" x14ac:dyDescent="0.3">
      <c r="A63" t="s">
        <v>224</v>
      </c>
      <c r="B63" s="5">
        <v>46211</v>
      </c>
      <c r="C63" t="s">
        <v>53</v>
      </c>
      <c r="J63">
        <v>1531</v>
      </c>
      <c r="K63">
        <v>1392</v>
      </c>
      <c r="L63">
        <v>1178</v>
      </c>
      <c r="M63">
        <v>1215</v>
      </c>
      <c r="N63">
        <v>1231</v>
      </c>
      <c r="O63">
        <v>1483</v>
      </c>
      <c r="P63">
        <v>1333</v>
      </c>
      <c r="Q63">
        <v>1144</v>
      </c>
      <c r="R63">
        <v>1109</v>
      </c>
      <c r="S63">
        <v>1119</v>
      </c>
      <c r="U63" t="s">
        <v>54</v>
      </c>
      <c r="V63">
        <v>0.86299999999999999</v>
      </c>
      <c r="W63">
        <v>1.2849999999999999</v>
      </c>
      <c r="X63">
        <v>1.1599999999999999</v>
      </c>
      <c r="Y63">
        <v>0.80700000000000005</v>
      </c>
      <c r="AB63">
        <v>784</v>
      </c>
      <c r="AC63">
        <v>871</v>
      </c>
      <c r="AF63" t="s">
        <v>55</v>
      </c>
      <c r="AG63">
        <v>114.50046539306641</v>
      </c>
      <c r="AH63">
        <v>102.4899978637695</v>
      </c>
    </row>
    <row r="64" spans="1:34" x14ac:dyDescent="0.3">
      <c r="A64" t="s">
        <v>224</v>
      </c>
      <c r="B64" s="5">
        <v>46211</v>
      </c>
      <c r="AF64" t="s">
        <v>56</v>
      </c>
      <c r="AG64">
        <v>5.2781000137329102</v>
      </c>
      <c r="AH64">
        <v>4.7238998413085938</v>
      </c>
    </row>
    <row r="65" spans="1:34" x14ac:dyDescent="0.3">
      <c r="A65" t="s">
        <v>228</v>
      </c>
      <c r="B65" s="5">
        <v>46218</v>
      </c>
      <c r="C65" t="s">
        <v>51</v>
      </c>
      <c r="F65">
        <v>57</v>
      </c>
      <c r="G65">
        <v>57</v>
      </c>
      <c r="J65">
        <v>48</v>
      </c>
      <c r="K65">
        <v>59</v>
      </c>
      <c r="L65">
        <v>34</v>
      </c>
      <c r="M65">
        <v>106</v>
      </c>
      <c r="N65">
        <v>112</v>
      </c>
      <c r="AB65">
        <v>2</v>
      </c>
      <c r="AC65">
        <v>1</v>
      </c>
      <c r="AF65" t="s">
        <v>52</v>
      </c>
      <c r="AG65">
        <v>564.719970703125</v>
      </c>
      <c r="AH65">
        <v>505.42999267578119</v>
      </c>
    </row>
    <row r="66" spans="1:34" x14ac:dyDescent="0.3">
      <c r="A66" t="s">
        <v>228</v>
      </c>
      <c r="B66" s="5">
        <v>46219</v>
      </c>
      <c r="C66" t="s">
        <v>53</v>
      </c>
      <c r="J66">
        <v>1531</v>
      </c>
      <c r="K66">
        <v>1392</v>
      </c>
      <c r="L66">
        <v>1178</v>
      </c>
      <c r="M66">
        <v>1215</v>
      </c>
      <c r="N66">
        <v>1231</v>
      </c>
      <c r="O66">
        <v>1483</v>
      </c>
      <c r="P66">
        <v>1333</v>
      </c>
      <c r="Q66">
        <v>1144</v>
      </c>
      <c r="R66">
        <v>1109</v>
      </c>
      <c r="S66">
        <v>1119</v>
      </c>
      <c r="U66" t="s">
        <v>54</v>
      </c>
      <c r="V66">
        <v>0.86299999999999999</v>
      </c>
      <c r="W66">
        <v>1.2849999999999999</v>
      </c>
      <c r="X66">
        <v>1.1599999999999999</v>
      </c>
      <c r="Y66">
        <v>0.80700000000000005</v>
      </c>
      <c r="AB66">
        <v>784</v>
      </c>
      <c r="AC66">
        <v>871</v>
      </c>
      <c r="AF66" t="s">
        <v>55</v>
      </c>
      <c r="AG66">
        <v>114.50046539306641</v>
      </c>
      <c r="AH66">
        <v>102.4899978637695</v>
      </c>
    </row>
    <row r="67" spans="1:34" x14ac:dyDescent="0.3">
      <c r="A67" t="s">
        <v>228</v>
      </c>
      <c r="B67" s="5">
        <v>46220</v>
      </c>
      <c r="AF67" t="s">
        <v>56</v>
      </c>
      <c r="AG67">
        <v>5.2781000137329102</v>
      </c>
      <c r="AH67">
        <v>4.7238998413085938</v>
      </c>
    </row>
    <row r="68" spans="1:34" x14ac:dyDescent="0.3">
      <c r="A68" t="s">
        <v>231</v>
      </c>
      <c r="B68" s="5">
        <v>46221</v>
      </c>
      <c r="C68" t="s">
        <v>51</v>
      </c>
      <c r="F68">
        <v>62</v>
      </c>
      <c r="G68">
        <v>62</v>
      </c>
      <c r="J68">
        <v>48</v>
      </c>
      <c r="K68">
        <v>57</v>
      </c>
      <c r="L68">
        <v>33</v>
      </c>
      <c r="M68">
        <v>118</v>
      </c>
      <c r="N68">
        <v>110</v>
      </c>
      <c r="AB68">
        <v>2</v>
      </c>
      <c r="AC68">
        <v>1</v>
      </c>
      <c r="AF68" t="s">
        <v>52</v>
      </c>
      <c r="AG68">
        <v>564.719970703125</v>
      </c>
      <c r="AH68">
        <v>505.42999267578119</v>
      </c>
    </row>
    <row r="69" spans="1:34" x14ac:dyDescent="0.3">
      <c r="A69" t="s">
        <v>231</v>
      </c>
      <c r="B69" s="5">
        <v>46221</v>
      </c>
      <c r="C69" t="s">
        <v>53</v>
      </c>
      <c r="J69">
        <v>1589</v>
      </c>
      <c r="K69">
        <v>1441</v>
      </c>
      <c r="L69">
        <v>1232</v>
      </c>
      <c r="M69">
        <v>1241</v>
      </c>
      <c r="N69">
        <v>1266</v>
      </c>
      <c r="O69">
        <v>1541</v>
      </c>
      <c r="P69">
        <v>1384</v>
      </c>
      <c r="Q69">
        <v>1199</v>
      </c>
      <c r="R69">
        <v>1123</v>
      </c>
      <c r="S69">
        <v>1156</v>
      </c>
      <c r="U69" t="s">
        <v>54</v>
      </c>
      <c r="V69">
        <v>0.86299999999999999</v>
      </c>
      <c r="W69">
        <v>1.2849999999999999</v>
      </c>
      <c r="X69">
        <v>1.1599999999999999</v>
      </c>
      <c r="Y69">
        <v>0.80700000000000005</v>
      </c>
      <c r="AB69">
        <v>867</v>
      </c>
      <c r="AC69">
        <v>930</v>
      </c>
      <c r="AF69" t="s">
        <v>55</v>
      </c>
      <c r="AG69">
        <v>114.50046539306641</v>
      </c>
      <c r="AH69">
        <v>102.4899978637695</v>
      </c>
    </row>
    <row r="70" spans="1:34" x14ac:dyDescent="0.3">
      <c r="A70" t="s">
        <v>231</v>
      </c>
      <c r="B70" s="5">
        <v>46221</v>
      </c>
      <c r="AF70" t="s">
        <v>56</v>
      </c>
      <c r="AG70">
        <v>5.2781000137329102</v>
      </c>
      <c r="AH70">
        <v>4.7238998413085938</v>
      </c>
    </row>
    <row r="71" spans="1:34" x14ac:dyDescent="0.3">
      <c r="A71" t="s">
        <v>230</v>
      </c>
      <c r="B71" s="5">
        <v>46221</v>
      </c>
      <c r="C71" t="s">
        <v>51</v>
      </c>
      <c r="F71">
        <v>62</v>
      </c>
      <c r="G71">
        <v>62</v>
      </c>
      <c r="J71">
        <v>48</v>
      </c>
      <c r="K71">
        <v>57</v>
      </c>
      <c r="L71">
        <v>33</v>
      </c>
      <c r="M71">
        <v>118</v>
      </c>
      <c r="N71">
        <v>110</v>
      </c>
      <c r="AB71">
        <v>2</v>
      </c>
      <c r="AC71">
        <v>1</v>
      </c>
      <c r="AF71" t="s">
        <v>52</v>
      </c>
      <c r="AG71">
        <v>564.719970703125</v>
      </c>
      <c r="AH71">
        <v>505.42999267578119</v>
      </c>
    </row>
    <row r="72" spans="1:34" x14ac:dyDescent="0.3">
      <c r="A72" t="s">
        <v>230</v>
      </c>
      <c r="B72" s="5">
        <v>46221</v>
      </c>
      <c r="C72" t="s">
        <v>53</v>
      </c>
      <c r="J72">
        <v>1589</v>
      </c>
      <c r="K72">
        <v>1441</v>
      </c>
      <c r="L72">
        <v>1232</v>
      </c>
      <c r="M72">
        <v>1241</v>
      </c>
      <c r="N72">
        <v>1266</v>
      </c>
      <c r="O72">
        <v>1541</v>
      </c>
      <c r="P72">
        <v>1384</v>
      </c>
      <c r="Q72">
        <v>1199</v>
      </c>
      <c r="R72">
        <v>1123</v>
      </c>
      <c r="S72">
        <v>1156</v>
      </c>
      <c r="U72" t="s">
        <v>54</v>
      </c>
      <c r="V72">
        <v>0.86299999999999999</v>
      </c>
      <c r="W72">
        <v>1.2849999999999999</v>
      </c>
      <c r="X72">
        <v>1.1599999999999999</v>
      </c>
      <c r="Y72">
        <v>0.80700000000000005</v>
      </c>
      <c r="AB72">
        <v>867</v>
      </c>
      <c r="AC72">
        <v>930</v>
      </c>
      <c r="AF72" t="s">
        <v>55</v>
      </c>
      <c r="AG72">
        <v>114.50046539306641</v>
      </c>
      <c r="AH72">
        <v>102.4899978637695</v>
      </c>
    </row>
    <row r="73" spans="1:34" x14ac:dyDescent="0.3">
      <c r="A73" t="s">
        <v>230</v>
      </c>
      <c r="B73" s="5">
        <v>46221</v>
      </c>
      <c r="AF73" t="s">
        <v>56</v>
      </c>
      <c r="AG73">
        <v>5.2781000137329102</v>
      </c>
      <c r="AH73">
        <v>4.7238998413085938</v>
      </c>
    </row>
    <row r="74" spans="1:34" x14ac:dyDescent="0.3">
      <c r="A74" t="s">
        <v>229</v>
      </c>
      <c r="B74" s="5">
        <v>46221</v>
      </c>
      <c r="C74" t="s">
        <v>51</v>
      </c>
      <c r="F74">
        <v>62</v>
      </c>
      <c r="G74">
        <v>62</v>
      </c>
      <c r="J74">
        <v>48</v>
      </c>
      <c r="K74">
        <v>57</v>
      </c>
      <c r="L74">
        <v>33</v>
      </c>
      <c r="M74">
        <v>118</v>
      </c>
      <c r="N74">
        <v>110</v>
      </c>
      <c r="AB74">
        <v>2</v>
      </c>
      <c r="AC74">
        <v>1</v>
      </c>
      <c r="AF74" t="s">
        <v>52</v>
      </c>
      <c r="AG74">
        <v>564.719970703125</v>
      </c>
      <c r="AH74">
        <v>505.42999267578119</v>
      </c>
    </row>
    <row r="75" spans="1:34" x14ac:dyDescent="0.3">
      <c r="A75" t="s">
        <v>229</v>
      </c>
      <c r="B75" s="5">
        <v>46221</v>
      </c>
      <c r="C75" t="s">
        <v>53</v>
      </c>
      <c r="J75">
        <v>1589</v>
      </c>
      <c r="K75">
        <v>1441</v>
      </c>
      <c r="L75">
        <v>1232</v>
      </c>
      <c r="M75">
        <v>1241</v>
      </c>
      <c r="N75">
        <v>1266</v>
      </c>
      <c r="O75">
        <v>1541</v>
      </c>
      <c r="P75">
        <v>1384</v>
      </c>
      <c r="Q75">
        <v>1199</v>
      </c>
      <c r="R75">
        <v>1123</v>
      </c>
      <c r="S75">
        <v>1156</v>
      </c>
      <c r="U75" t="s">
        <v>54</v>
      </c>
      <c r="V75">
        <v>0.86299999999999999</v>
      </c>
      <c r="W75">
        <v>1.2849999999999999</v>
      </c>
      <c r="X75">
        <v>1.1599999999999999</v>
      </c>
      <c r="Y75">
        <v>0.80700000000000005</v>
      </c>
      <c r="AB75">
        <v>867</v>
      </c>
      <c r="AC75">
        <v>930</v>
      </c>
      <c r="AF75" t="s">
        <v>55</v>
      </c>
      <c r="AG75">
        <v>114.50046539306641</v>
      </c>
      <c r="AH75">
        <v>102.4899978637695</v>
      </c>
    </row>
    <row r="76" spans="1:34" x14ac:dyDescent="0.3">
      <c r="A76" t="s">
        <v>229</v>
      </c>
      <c r="B76" s="5">
        <v>46221</v>
      </c>
      <c r="AF76" t="s">
        <v>56</v>
      </c>
      <c r="AG76">
        <v>5.2781000137329102</v>
      </c>
      <c r="AH76">
        <v>4.7238998413085938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3B28-ED3C-4B25-B5A9-CC791341D972}">
  <dimension ref="A1:T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T27" sqref="T27"/>
    </sheetView>
  </sheetViews>
  <sheetFormatPr baseColWidth="10" defaultRowHeight="14.4" x14ac:dyDescent="0.3"/>
  <cols>
    <col min="1" max="1" width="9.88671875" bestFit="1" customWidth="1"/>
    <col min="2" max="2" width="10.44140625" bestFit="1" customWidth="1"/>
    <col min="3" max="3" width="11.6640625" bestFit="1" customWidth="1"/>
    <col min="4" max="4" width="10" bestFit="1" customWidth="1"/>
    <col min="5" max="5" width="29.5546875" bestFit="1" customWidth="1"/>
    <col min="6" max="6" width="34.6640625" bestFit="1" customWidth="1"/>
    <col min="7" max="7" width="15" bestFit="1" customWidth="1"/>
    <col min="8" max="8" width="17.88671875" bestFit="1" customWidth="1"/>
    <col min="9" max="9" width="19.44140625" bestFit="1" customWidth="1"/>
    <col min="10" max="10" width="19.6640625" bestFit="1" customWidth="1"/>
    <col min="11" max="11" width="18.6640625" bestFit="1" customWidth="1"/>
    <col min="12" max="12" width="16.44140625" bestFit="1" customWidth="1"/>
    <col min="13" max="13" width="15.44140625" bestFit="1" customWidth="1"/>
    <col min="14" max="14" width="13" bestFit="1" customWidth="1"/>
    <col min="15" max="15" width="11.44140625" bestFit="1" customWidth="1"/>
    <col min="16" max="16" width="20" bestFit="1" customWidth="1"/>
    <col min="17" max="17" width="19.21875" bestFit="1" customWidth="1"/>
    <col min="18" max="18" width="16.6640625" bestFit="1" customWidth="1"/>
    <col min="19" max="19" width="14.77734375" bestFit="1" customWidth="1"/>
  </cols>
  <sheetData>
    <row r="1" spans="1:20" x14ac:dyDescent="0.3">
      <c r="A1" t="s">
        <v>57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186</v>
      </c>
    </row>
    <row r="2" spans="1:20" s="11" customFormat="1" x14ac:dyDescent="0.3">
      <c r="A2" s="11" t="s">
        <v>77</v>
      </c>
      <c r="B2" s="11">
        <v>379</v>
      </c>
      <c r="C2" s="11">
        <v>-7921502947</v>
      </c>
      <c r="D2" s="11">
        <v>511963322</v>
      </c>
      <c r="E2" s="11" t="s">
        <v>78</v>
      </c>
      <c r="F2" s="11" t="s">
        <v>79</v>
      </c>
      <c r="G2" s="11" t="s">
        <v>80</v>
      </c>
      <c r="H2" s="11" t="s">
        <v>81</v>
      </c>
      <c r="I2" s="11" t="s">
        <v>82</v>
      </c>
      <c r="J2" s="11" t="s">
        <v>82</v>
      </c>
      <c r="K2" s="11" t="s">
        <v>83</v>
      </c>
      <c r="L2" s="11" t="s">
        <v>84</v>
      </c>
      <c r="M2" s="11" t="s">
        <v>85</v>
      </c>
      <c r="N2" s="11" t="s">
        <v>86</v>
      </c>
      <c r="O2" s="11" t="s">
        <v>86</v>
      </c>
      <c r="P2" s="11">
        <v>51</v>
      </c>
      <c r="Q2" s="11">
        <v>0</v>
      </c>
      <c r="R2" s="11">
        <v>324719046</v>
      </c>
      <c r="S2" s="11">
        <v>202786</v>
      </c>
      <c r="T2" s="11" t="s">
        <v>232</v>
      </c>
    </row>
    <row r="3" spans="1:20" s="11" customFormat="1" x14ac:dyDescent="0.3">
      <c r="A3" s="11" t="s">
        <v>87</v>
      </c>
      <c r="B3" s="11">
        <v>219</v>
      </c>
      <c r="C3" s="11">
        <v>-79188299</v>
      </c>
      <c r="D3" s="11">
        <v>536624405</v>
      </c>
      <c r="E3" s="11" t="s">
        <v>88</v>
      </c>
      <c r="F3" s="11" t="s">
        <v>89</v>
      </c>
      <c r="G3" s="11" t="s">
        <v>80</v>
      </c>
      <c r="H3" s="11" t="s">
        <v>81</v>
      </c>
      <c r="I3" s="11" t="s">
        <v>82</v>
      </c>
      <c r="J3" s="11" t="s">
        <v>82</v>
      </c>
      <c r="K3" s="11" t="s">
        <v>83</v>
      </c>
      <c r="L3" s="11" t="s">
        <v>84</v>
      </c>
      <c r="M3" s="11" t="s">
        <v>85</v>
      </c>
      <c r="N3" s="11" t="s">
        <v>86</v>
      </c>
      <c r="O3" s="11" t="s">
        <v>86</v>
      </c>
      <c r="P3" s="11">
        <v>779</v>
      </c>
      <c r="Q3" s="11">
        <v>0</v>
      </c>
      <c r="R3" s="11">
        <v>767228335</v>
      </c>
      <c r="S3" s="11">
        <v>10672524</v>
      </c>
      <c r="T3" s="11" t="s">
        <v>232</v>
      </c>
    </row>
    <row r="4" spans="1:20" s="11" customFormat="1" x14ac:dyDescent="0.3">
      <c r="A4" s="11" t="s">
        <v>90</v>
      </c>
      <c r="B4" s="11">
        <v>533</v>
      </c>
      <c r="C4" s="11">
        <v>-7917664243</v>
      </c>
      <c r="D4" s="11">
        <v>495169203</v>
      </c>
      <c r="E4" s="11" t="s">
        <v>91</v>
      </c>
      <c r="F4" s="11" t="s">
        <v>92</v>
      </c>
      <c r="G4" s="11" t="s">
        <v>93</v>
      </c>
      <c r="H4" s="11" t="s">
        <v>93</v>
      </c>
      <c r="I4" s="11" t="s">
        <v>94</v>
      </c>
      <c r="J4" s="11" t="s">
        <v>95</v>
      </c>
      <c r="K4" s="11" t="s">
        <v>93</v>
      </c>
      <c r="L4" s="11" t="s">
        <v>84</v>
      </c>
      <c r="M4" s="11" t="s">
        <v>85</v>
      </c>
      <c r="N4" s="11" t="s">
        <v>86</v>
      </c>
      <c r="O4" s="11" t="s">
        <v>86</v>
      </c>
      <c r="P4" s="11">
        <v>1583</v>
      </c>
      <c r="Q4" s="11">
        <v>0</v>
      </c>
      <c r="R4" s="11">
        <v>7831</v>
      </c>
      <c r="S4" s="11">
        <v>2552</v>
      </c>
      <c r="T4" s="11" t="s">
        <v>232</v>
      </c>
    </row>
    <row r="5" spans="1:20" s="11" customFormat="1" x14ac:dyDescent="0.3">
      <c r="A5" s="11" t="s">
        <v>96</v>
      </c>
      <c r="B5" s="11">
        <v>555</v>
      </c>
      <c r="C5" s="11">
        <v>-7917180931</v>
      </c>
      <c r="D5" s="11">
        <v>497112037</v>
      </c>
      <c r="E5" s="11" t="s">
        <v>91</v>
      </c>
      <c r="F5" s="11" t="s">
        <v>97</v>
      </c>
      <c r="G5" s="11" t="s">
        <v>98</v>
      </c>
      <c r="H5" s="11" t="s">
        <v>99</v>
      </c>
      <c r="I5" s="11" t="s">
        <v>100</v>
      </c>
      <c r="J5" s="11" t="s">
        <v>101</v>
      </c>
      <c r="K5" s="11" t="s">
        <v>99</v>
      </c>
      <c r="L5" s="11" t="s">
        <v>84</v>
      </c>
      <c r="M5" s="11" t="s">
        <v>85</v>
      </c>
      <c r="N5" s="11" t="s">
        <v>86</v>
      </c>
      <c r="O5" s="11" t="s">
        <v>86</v>
      </c>
      <c r="P5" s="11">
        <v>1803</v>
      </c>
      <c r="Q5" s="11">
        <v>0</v>
      </c>
      <c r="R5" s="11">
        <v>7418</v>
      </c>
      <c r="S5" s="11">
        <v>2217</v>
      </c>
      <c r="T5" s="11" t="s">
        <v>232</v>
      </c>
    </row>
    <row r="6" spans="1:20" s="11" customFormat="1" x14ac:dyDescent="0.3">
      <c r="A6" s="11" t="s">
        <v>102</v>
      </c>
      <c r="B6" s="11">
        <v>195</v>
      </c>
      <c r="C6" s="11">
        <v>-7917484707</v>
      </c>
      <c r="D6" s="11">
        <v>55325892</v>
      </c>
      <c r="E6" s="11" t="s">
        <v>103</v>
      </c>
      <c r="F6" s="11" t="s">
        <v>104</v>
      </c>
      <c r="G6" s="11" t="s">
        <v>105</v>
      </c>
      <c r="H6" s="11" t="s">
        <v>93</v>
      </c>
      <c r="I6" s="11" t="s">
        <v>94</v>
      </c>
      <c r="J6" s="11" t="s">
        <v>95</v>
      </c>
      <c r="K6" s="11" t="s">
        <v>93</v>
      </c>
      <c r="L6" s="11" t="s">
        <v>84</v>
      </c>
      <c r="M6" s="11" t="s">
        <v>85</v>
      </c>
      <c r="N6" s="11" t="s">
        <v>86</v>
      </c>
      <c r="O6" s="11" t="s">
        <v>86</v>
      </c>
      <c r="P6" s="11">
        <v>304</v>
      </c>
      <c r="Q6" s="11">
        <v>0</v>
      </c>
      <c r="R6" s="11">
        <v>3566</v>
      </c>
      <c r="S6" s="11">
        <v>655</v>
      </c>
      <c r="T6" s="11" t="s">
        <v>232</v>
      </c>
    </row>
    <row r="7" spans="1:20" s="11" customFormat="1" x14ac:dyDescent="0.3">
      <c r="A7" s="11" t="s">
        <v>106</v>
      </c>
      <c r="B7" s="11">
        <v>180</v>
      </c>
      <c r="C7" s="11">
        <v>-7917846675</v>
      </c>
      <c r="D7" s="11">
        <v>554236652</v>
      </c>
      <c r="E7" s="11" t="s">
        <v>107</v>
      </c>
      <c r="F7" s="11" t="s">
        <v>79</v>
      </c>
      <c r="G7" s="11" t="s">
        <v>105</v>
      </c>
      <c r="H7" s="11" t="s">
        <v>93</v>
      </c>
      <c r="I7" s="11" t="s">
        <v>94</v>
      </c>
      <c r="J7" s="11" t="s">
        <v>95</v>
      </c>
      <c r="K7" s="11" t="s">
        <v>93</v>
      </c>
      <c r="L7" s="11" t="s">
        <v>84</v>
      </c>
      <c r="M7" s="11" t="s">
        <v>85</v>
      </c>
      <c r="N7" s="11" t="s">
        <v>86</v>
      </c>
      <c r="O7" s="11" t="s">
        <v>86</v>
      </c>
      <c r="P7" s="11">
        <v>214</v>
      </c>
      <c r="Q7" s="11">
        <v>0</v>
      </c>
      <c r="R7" s="11">
        <v>442509289</v>
      </c>
      <c r="S7" s="11">
        <v>18089215</v>
      </c>
      <c r="T7" s="11" t="s">
        <v>232</v>
      </c>
    </row>
    <row r="8" spans="1:20" s="11" customFormat="1" x14ac:dyDescent="0.3">
      <c r="A8" s="11" t="s">
        <v>108</v>
      </c>
      <c r="B8" s="11">
        <v>312</v>
      </c>
      <c r="C8" s="11">
        <v>-7922843794</v>
      </c>
      <c r="D8" s="11">
        <v>488835191</v>
      </c>
      <c r="E8" s="11" t="s">
        <v>109</v>
      </c>
      <c r="F8" s="11" t="s">
        <v>110</v>
      </c>
      <c r="G8" s="11" t="s">
        <v>111</v>
      </c>
      <c r="H8" s="11" t="s">
        <v>98</v>
      </c>
      <c r="I8" s="11" t="s">
        <v>112</v>
      </c>
      <c r="J8" s="11" t="s">
        <v>100</v>
      </c>
      <c r="K8" s="11" t="s">
        <v>98</v>
      </c>
      <c r="L8" s="11" t="s">
        <v>84</v>
      </c>
      <c r="M8" s="11" t="s">
        <v>85</v>
      </c>
      <c r="N8" s="11" t="s">
        <v>86</v>
      </c>
      <c r="O8" s="11" t="s">
        <v>86</v>
      </c>
      <c r="P8" s="11">
        <v>41</v>
      </c>
      <c r="Q8" s="11">
        <v>0</v>
      </c>
      <c r="R8" s="11">
        <v>6908</v>
      </c>
      <c r="S8" s="11">
        <v>121</v>
      </c>
      <c r="T8" s="11" t="s">
        <v>232</v>
      </c>
    </row>
    <row r="9" spans="1:20" s="11" customFormat="1" x14ac:dyDescent="0.3">
      <c r="A9" s="11" t="s">
        <v>113</v>
      </c>
      <c r="B9" s="11">
        <v>462</v>
      </c>
      <c r="C9" s="11">
        <v>-7921156536</v>
      </c>
      <c r="D9" s="11">
        <v>500251833</v>
      </c>
      <c r="E9" s="11" t="s">
        <v>114</v>
      </c>
      <c r="F9" s="11" t="s">
        <v>115</v>
      </c>
      <c r="G9" s="11" t="s">
        <v>116</v>
      </c>
      <c r="H9" s="11" t="s">
        <v>98</v>
      </c>
      <c r="I9" s="11" t="s">
        <v>112</v>
      </c>
      <c r="J9" s="11" t="s">
        <v>100</v>
      </c>
      <c r="K9" s="11" t="s">
        <v>98</v>
      </c>
      <c r="L9" s="11" t="s">
        <v>117</v>
      </c>
      <c r="M9" s="11" t="s">
        <v>85</v>
      </c>
      <c r="N9" s="11" t="s">
        <v>86</v>
      </c>
      <c r="O9" s="11" t="s">
        <v>86</v>
      </c>
      <c r="P9" s="11">
        <v>261</v>
      </c>
      <c r="Q9" s="11">
        <v>0</v>
      </c>
      <c r="R9" s="11">
        <v>779962415</v>
      </c>
      <c r="S9" s="11">
        <v>8059825</v>
      </c>
      <c r="T9" s="11" t="s">
        <v>232</v>
      </c>
    </row>
    <row r="10" spans="1:20" s="11" customFormat="1" x14ac:dyDescent="0.3">
      <c r="A10" s="11" t="s">
        <v>118</v>
      </c>
      <c r="B10" s="11">
        <v>426</v>
      </c>
      <c r="C10" s="11">
        <v>-7922441142</v>
      </c>
      <c r="D10" s="11">
        <v>497343521</v>
      </c>
      <c r="E10" s="11" t="s">
        <v>119</v>
      </c>
      <c r="F10" s="11" t="s">
        <v>120</v>
      </c>
      <c r="G10" s="11" t="s">
        <v>111</v>
      </c>
      <c r="H10" s="11" t="s">
        <v>111</v>
      </c>
      <c r="I10" s="11" t="s">
        <v>121</v>
      </c>
      <c r="J10" s="11" t="s">
        <v>122</v>
      </c>
      <c r="K10" s="11" t="s">
        <v>111</v>
      </c>
      <c r="L10" s="11" t="s">
        <v>84</v>
      </c>
      <c r="M10" s="11" t="s">
        <v>85</v>
      </c>
      <c r="N10" s="11" t="s">
        <v>86</v>
      </c>
      <c r="O10" s="11" t="s">
        <v>86</v>
      </c>
      <c r="P10" s="11">
        <v>386</v>
      </c>
      <c r="Q10" s="11">
        <v>0</v>
      </c>
      <c r="R10" s="11">
        <v>9137</v>
      </c>
      <c r="S10" s="11">
        <v>469</v>
      </c>
      <c r="T10" s="11" t="s">
        <v>232</v>
      </c>
    </row>
    <row r="11" spans="1:20" s="11" customFormat="1" x14ac:dyDescent="0.3">
      <c r="A11" s="11" t="s">
        <v>123</v>
      </c>
      <c r="B11" s="11">
        <v>210</v>
      </c>
      <c r="C11" s="11">
        <v>-7922831964</v>
      </c>
      <c r="D11" s="11">
        <v>459481731</v>
      </c>
      <c r="E11" s="11" t="s">
        <v>124</v>
      </c>
      <c r="F11" s="11" t="s">
        <v>79</v>
      </c>
      <c r="G11" s="11" t="s">
        <v>111</v>
      </c>
      <c r="H11" s="11" t="s">
        <v>111</v>
      </c>
      <c r="I11" s="11" t="s">
        <v>121</v>
      </c>
      <c r="J11" s="11" t="s">
        <v>122</v>
      </c>
      <c r="K11" s="11" t="s">
        <v>111</v>
      </c>
      <c r="L11" s="11" t="s">
        <v>84</v>
      </c>
      <c r="M11" s="11" t="s">
        <v>85</v>
      </c>
      <c r="N11" s="11" t="s">
        <v>86</v>
      </c>
      <c r="O11" s="11" t="s">
        <v>86</v>
      </c>
      <c r="P11" s="11">
        <v>201</v>
      </c>
      <c r="Q11" s="11">
        <v>0</v>
      </c>
      <c r="R11" s="11">
        <v>219662884</v>
      </c>
      <c r="S11" s="11">
        <v>58631861</v>
      </c>
      <c r="T11" s="11" t="s">
        <v>232</v>
      </c>
    </row>
    <row r="12" spans="1:20" s="11" customFormat="1" x14ac:dyDescent="0.3">
      <c r="A12" s="11" t="s">
        <v>125</v>
      </c>
      <c r="B12" s="11">
        <v>161</v>
      </c>
      <c r="C12" s="11">
        <v>-7921797846</v>
      </c>
      <c r="D12" s="11">
        <v>467943298</v>
      </c>
      <c r="E12" s="11" t="s">
        <v>126</v>
      </c>
      <c r="F12" s="11" t="s">
        <v>79</v>
      </c>
      <c r="G12" s="11" t="s">
        <v>83</v>
      </c>
      <c r="H12" s="11" t="s">
        <v>116</v>
      </c>
      <c r="I12" s="11" t="s">
        <v>122</v>
      </c>
      <c r="J12" s="11" t="s">
        <v>127</v>
      </c>
      <c r="K12" s="11" t="s">
        <v>116</v>
      </c>
      <c r="L12" s="11" t="s">
        <v>117</v>
      </c>
      <c r="M12" s="11" t="s">
        <v>85</v>
      </c>
      <c r="N12" s="11" t="s">
        <v>86</v>
      </c>
      <c r="O12" s="11" t="s">
        <v>86</v>
      </c>
      <c r="P12" s="11">
        <v>107</v>
      </c>
      <c r="Q12" s="11">
        <v>0</v>
      </c>
      <c r="R12" s="11">
        <v>541198411</v>
      </c>
      <c r="S12" s="11">
        <v>77806308</v>
      </c>
      <c r="T12" s="11" t="s">
        <v>233</v>
      </c>
    </row>
    <row r="13" spans="1:20" s="11" customFormat="1" x14ac:dyDescent="0.3">
      <c r="A13" s="11" t="s">
        <v>128</v>
      </c>
      <c r="B13" s="11">
        <v>160</v>
      </c>
      <c r="C13" s="11">
        <v>-7921292145</v>
      </c>
      <c r="D13" s="11">
        <v>467046758</v>
      </c>
      <c r="E13" s="11" t="s">
        <v>126</v>
      </c>
      <c r="F13" s="11" t="s">
        <v>79</v>
      </c>
      <c r="G13" s="11" t="s">
        <v>116</v>
      </c>
      <c r="H13" s="11" t="s">
        <v>98</v>
      </c>
      <c r="I13" s="11" t="s">
        <v>112</v>
      </c>
      <c r="J13" s="11" t="s">
        <v>100</v>
      </c>
      <c r="K13" s="11" t="s">
        <v>98</v>
      </c>
      <c r="L13" s="11" t="s">
        <v>117</v>
      </c>
      <c r="M13" s="11" t="s">
        <v>85</v>
      </c>
      <c r="N13" s="11" t="s">
        <v>86</v>
      </c>
      <c r="O13" s="11" t="s">
        <v>86</v>
      </c>
      <c r="P13" s="11">
        <v>100</v>
      </c>
      <c r="Q13" s="11">
        <v>0</v>
      </c>
      <c r="R13" s="11">
        <v>652621613</v>
      </c>
      <c r="S13" s="11">
        <v>77806308</v>
      </c>
      <c r="T13" s="11" t="s">
        <v>232</v>
      </c>
    </row>
    <row r="14" spans="1:20" s="11" customFormat="1" x14ac:dyDescent="0.3">
      <c r="A14" s="11" t="s">
        <v>129</v>
      </c>
      <c r="B14" s="11">
        <v>161</v>
      </c>
      <c r="C14" s="11">
        <v>-7922289339</v>
      </c>
      <c r="D14" s="11">
        <v>462319853</v>
      </c>
      <c r="E14" s="11" t="s">
        <v>126</v>
      </c>
      <c r="F14" s="11" t="s">
        <v>79</v>
      </c>
      <c r="G14" s="11" t="s">
        <v>111</v>
      </c>
      <c r="H14" s="11" t="s">
        <v>98</v>
      </c>
      <c r="I14" s="11" t="s">
        <v>112</v>
      </c>
      <c r="J14" s="11" t="s">
        <v>100</v>
      </c>
      <c r="K14" s="11" t="s">
        <v>98</v>
      </c>
      <c r="L14" s="11" t="s">
        <v>117</v>
      </c>
      <c r="M14" s="11" t="s">
        <v>85</v>
      </c>
      <c r="N14" s="11" t="s">
        <v>86</v>
      </c>
      <c r="O14" s="11" t="s">
        <v>86</v>
      </c>
      <c r="P14" s="11">
        <v>1673</v>
      </c>
      <c r="Q14" s="11">
        <v>0</v>
      </c>
      <c r="R14" s="11">
        <v>273782725</v>
      </c>
      <c r="S14" s="11">
        <v>73374676</v>
      </c>
      <c r="T14" s="11" t="s">
        <v>233</v>
      </c>
    </row>
    <row r="15" spans="1:20" s="11" customFormat="1" x14ac:dyDescent="0.3">
      <c r="A15" s="11" t="s">
        <v>130</v>
      </c>
      <c r="B15" s="11">
        <v>185</v>
      </c>
      <c r="C15" s="11">
        <v>-7907311507</v>
      </c>
      <c r="D15" s="11">
        <v>488575109</v>
      </c>
      <c r="E15" s="11" t="s">
        <v>131</v>
      </c>
      <c r="F15" s="11" t="s">
        <v>132</v>
      </c>
      <c r="G15" s="11" t="s">
        <v>116</v>
      </c>
      <c r="H15" s="11" t="s">
        <v>133</v>
      </c>
      <c r="I15" s="11" t="s">
        <v>127</v>
      </c>
      <c r="J15" s="11" t="s">
        <v>112</v>
      </c>
      <c r="K15" s="11" t="s">
        <v>133</v>
      </c>
      <c r="L15" s="11" t="s">
        <v>117</v>
      </c>
      <c r="M15" s="11" t="s">
        <v>85</v>
      </c>
      <c r="N15" s="11" t="s">
        <v>86</v>
      </c>
      <c r="O15" s="11" t="s">
        <v>86</v>
      </c>
      <c r="P15" s="11">
        <v>1571</v>
      </c>
      <c r="Q15" s="11">
        <v>0</v>
      </c>
      <c r="R15" s="11">
        <v>636704013</v>
      </c>
      <c r="S15" s="11">
        <v>35769814</v>
      </c>
      <c r="T15" s="11" t="s">
        <v>232</v>
      </c>
    </row>
    <row r="16" spans="1:20" s="11" customFormat="1" x14ac:dyDescent="0.3">
      <c r="A16" s="11" t="s">
        <v>134</v>
      </c>
      <c r="B16" s="11">
        <v>248</v>
      </c>
      <c r="C16" s="11">
        <v>-7909197228</v>
      </c>
      <c r="D16" s="11">
        <v>474257592</v>
      </c>
      <c r="E16" s="11" t="s">
        <v>135</v>
      </c>
      <c r="F16" s="11" t="s">
        <v>136</v>
      </c>
      <c r="G16" s="11" t="s">
        <v>116</v>
      </c>
      <c r="H16" s="11" t="s">
        <v>111</v>
      </c>
      <c r="I16" s="11" t="s">
        <v>121</v>
      </c>
      <c r="J16" s="11" t="s">
        <v>122</v>
      </c>
      <c r="K16" s="11" t="s">
        <v>111</v>
      </c>
      <c r="L16" s="11" t="s">
        <v>117</v>
      </c>
      <c r="M16" s="11" t="s">
        <v>85</v>
      </c>
      <c r="N16" s="11" t="s">
        <v>86</v>
      </c>
      <c r="O16" s="11" t="s">
        <v>86</v>
      </c>
      <c r="P16" s="11">
        <v>303</v>
      </c>
      <c r="Q16" s="11">
        <v>0</v>
      </c>
      <c r="R16" s="11">
        <v>541198411</v>
      </c>
      <c r="S16" s="11">
        <v>1344176</v>
      </c>
      <c r="T16" s="11" t="s">
        <v>232</v>
      </c>
    </row>
    <row r="17" spans="1:20" s="11" customFormat="1" x14ac:dyDescent="0.3">
      <c r="A17" s="11" t="s">
        <v>137</v>
      </c>
      <c r="B17" s="11">
        <v>320</v>
      </c>
      <c r="C17" s="11">
        <v>-7920497368</v>
      </c>
      <c r="D17" s="11">
        <v>526727449</v>
      </c>
      <c r="E17" s="11" t="s">
        <v>138</v>
      </c>
      <c r="F17" s="11" t="s">
        <v>139</v>
      </c>
      <c r="G17" s="11" t="s">
        <v>140</v>
      </c>
      <c r="H17" s="11" t="s">
        <v>141</v>
      </c>
      <c r="I17" s="11" t="s">
        <v>142</v>
      </c>
      <c r="J17" s="11" t="s">
        <v>143</v>
      </c>
      <c r="K17" s="11" t="s">
        <v>141</v>
      </c>
      <c r="L17" s="11" t="s">
        <v>84</v>
      </c>
      <c r="M17" s="11" t="s">
        <v>144</v>
      </c>
      <c r="N17" s="11" t="s">
        <v>86</v>
      </c>
      <c r="O17" s="11" t="s">
        <v>86</v>
      </c>
      <c r="P17" s="11">
        <v>125</v>
      </c>
      <c r="Q17" s="11">
        <v>0</v>
      </c>
      <c r="R17" s="11">
        <v>8468</v>
      </c>
      <c r="S17" s="11">
        <v>78</v>
      </c>
      <c r="T17" s="11" t="s">
        <v>232</v>
      </c>
    </row>
    <row r="18" spans="1:20" s="11" customFormat="1" x14ac:dyDescent="0.3">
      <c r="A18" s="11" t="s">
        <v>20</v>
      </c>
      <c r="B18" s="11">
        <v>431</v>
      </c>
      <c r="C18" s="11">
        <v>-7921395819</v>
      </c>
      <c r="D18" s="11">
        <v>520363859</v>
      </c>
      <c r="E18" s="11" t="s">
        <v>145</v>
      </c>
      <c r="F18" s="11" t="s">
        <v>146</v>
      </c>
      <c r="G18" s="11" t="s">
        <v>140</v>
      </c>
      <c r="H18" s="11" t="s">
        <v>147</v>
      </c>
      <c r="I18" s="11" t="s">
        <v>148</v>
      </c>
      <c r="J18" s="11" t="s">
        <v>149</v>
      </c>
      <c r="K18" s="11" t="s">
        <v>147</v>
      </c>
      <c r="L18" s="11" t="s">
        <v>84</v>
      </c>
      <c r="M18" s="11" t="s">
        <v>144</v>
      </c>
      <c r="N18" s="11" t="s">
        <v>86</v>
      </c>
      <c r="O18" s="11" t="s">
        <v>86</v>
      </c>
      <c r="P18" s="11">
        <v>557</v>
      </c>
      <c r="Q18" s="11">
        <v>0</v>
      </c>
      <c r="R18" s="11">
        <v>3629</v>
      </c>
      <c r="S18" s="11">
        <v>507</v>
      </c>
      <c r="T18" s="11" t="s">
        <v>232</v>
      </c>
    </row>
    <row r="19" spans="1:20" s="11" customFormat="1" x14ac:dyDescent="0.3">
      <c r="A19" s="11" t="s">
        <v>150</v>
      </c>
      <c r="B19" s="11">
        <v>386</v>
      </c>
      <c r="C19" s="11">
        <v>-7920459217</v>
      </c>
      <c r="D19" s="11">
        <v>50986245</v>
      </c>
      <c r="E19" s="11" t="s">
        <v>151</v>
      </c>
      <c r="F19" s="11" t="s">
        <v>152</v>
      </c>
      <c r="G19" s="11" t="s">
        <v>153</v>
      </c>
      <c r="H19" s="11" t="s">
        <v>154</v>
      </c>
      <c r="I19" s="11" t="s">
        <v>155</v>
      </c>
      <c r="J19" s="11" t="s">
        <v>156</v>
      </c>
      <c r="K19" s="11" t="s">
        <v>154</v>
      </c>
      <c r="L19" s="11" t="s">
        <v>84</v>
      </c>
      <c r="M19" s="11" t="s">
        <v>144</v>
      </c>
      <c r="N19" s="11" t="s">
        <v>86</v>
      </c>
      <c r="O19" s="11" t="s">
        <v>86</v>
      </c>
      <c r="P19" s="11">
        <v>807</v>
      </c>
      <c r="Q19" s="11">
        <v>0</v>
      </c>
      <c r="R19" s="11">
        <v>3725</v>
      </c>
      <c r="S19" s="11">
        <v>775</v>
      </c>
      <c r="T19" s="11" t="s">
        <v>232</v>
      </c>
    </row>
    <row r="20" spans="1:20" s="11" customFormat="1" x14ac:dyDescent="0.3">
      <c r="A20" s="11" t="s">
        <v>157</v>
      </c>
      <c r="B20" s="11">
        <v>261</v>
      </c>
      <c r="C20" s="11">
        <v>-7920911394</v>
      </c>
      <c r="D20" s="11">
        <v>462551481</v>
      </c>
      <c r="E20" s="11" t="s">
        <v>158</v>
      </c>
      <c r="F20" s="11" t="s">
        <v>159</v>
      </c>
      <c r="G20" s="11" t="s">
        <v>147</v>
      </c>
      <c r="H20" s="11" t="s">
        <v>160</v>
      </c>
      <c r="I20" s="11" t="s">
        <v>161</v>
      </c>
      <c r="J20" s="11" t="s">
        <v>142</v>
      </c>
      <c r="K20" s="11" t="s">
        <v>160</v>
      </c>
      <c r="L20" s="11" t="s">
        <v>84</v>
      </c>
      <c r="M20" s="11" t="s">
        <v>144</v>
      </c>
      <c r="N20" s="11" t="s">
        <v>86</v>
      </c>
      <c r="O20" s="11" t="s">
        <v>86</v>
      </c>
      <c r="P20" s="11">
        <v>415</v>
      </c>
      <c r="Q20" s="11">
        <v>0</v>
      </c>
      <c r="R20" s="11">
        <v>6654</v>
      </c>
      <c r="S20" s="11">
        <v>5226999851</v>
      </c>
      <c r="T20" s="11" t="s">
        <v>232</v>
      </c>
    </row>
    <row r="21" spans="1:20" s="11" customFormat="1" x14ac:dyDescent="0.3">
      <c r="A21" s="11" t="s">
        <v>162</v>
      </c>
      <c r="B21" s="11">
        <v>194</v>
      </c>
      <c r="C21" s="11">
        <v>-7906783291</v>
      </c>
      <c r="D21" s="11">
        <v>491295262</v>
      </c>
      <c r="E21" s="11" t="s">
        <v>163</v>
      </c>
      <c r="F21" s="11" t="s">
        <v>79</v>
      </c>
      <c r="G21" s="11" t="s">
        <v>111</v>
      </c>
      <c r="H21" s="11" t="s">
        <v>81</v>
      </c>
      <c r="I21" s="11" t="s">
        <v>164</v>
      </c>
      <c r="J21" s="11" t="s">
        <v>165</v>
      </c>
      <c r="K21" s="11" t="s">
        <v>166</v>
      </c>
      <c r="L21" s="11" t="s">
        <v>117</v>
      </c>
      <c r="M21" s="11" t="s">
        <v>144</v>
      </c>
      <c r="N21" s="11" t="s">
        <v>86</v>
      </c>
      <c r="O21" s="11" t="s">
        <v>86</v>
      </c>
      <c r="P21" s="11">
        <v>716</v>
      </c>
      <c r="Q21" s="11">
        <v>0</v>
      </c>
      <c r="R21" s="11">
        <v>671722733</v>
      </c>
      <c r="S21" s="11">
        <v>10755593</v>
      </c>
      <c r="T21" s="11" t="s">
        <v>232</v>
      </c>
    </row>
    <row r="22" spans="1:20" s="11" customFormat="1" x14ac:dyDescent="0.3">
      <c r="A22" s="11" t="s">
        <v>167</v>
      </c>
      <c r="B22" s="11">
        <v>374</v>
      </c>
      <c r="C22" s="11">
        <v>-790681367</v>
      </c>
      <c r="D22" s="11">
        <v>496820093</v>
      </c>
      <c r="E22" s="11" t="s">
        <v>168</v>
      </c>
      <c r="F22" s="11" t="s">
        <v>132</v>
      </c>
      <c r="G22" s="11" t="s">
        <v>111</v>
      </c>
      <c r="H22" s="11" t="s">
        <v>81</v>
      </c>
      <c r="I22" s="11" t="s">
        <v>169</v>
      </c>
      <c r="J22" s="11" t="s">
        <v>169</v>
      </c>
      <c r="K22" s="11" t="s">
        <v>169</v>
      </c>
      <c r="L22" s="11" t="s">
        <v>84</v>
      </c>
      <c r="M22" s="11" t="s">
        <v>170</v>
      </c>
      <c r="N22" s="11" t="s">
        <v>86</v>
      </c>
      <c r="O22" s="11" t="s">
        <v>86</v>
      </c>
      <c r="P22" s="11">
        <v>0</v>
      </c>
      <c r="Q22" s="11">
        <v>412</v>
      </c>
      <c r="R22" s="11">
        <v>830898736</v>
      </c>
      <c r="S22" s="11">
        <v>0</v>
      </c>
      <c r="T22" s="11" t="s">
        <v>232</v>
      </c>
    </row>
    <row r="23" spans="1:20" s="11" customFormat="1" x14ac:dyDescent="0.3">
      <c r="A23" s="11" t="s">
        <v>171</v>
      </c>
      <c r="B23" s="11">
        <v>328</v>
      </c>
      <c r="C23" s="11">
        <v>-7917488737</v>
      </c>
      <c r="D23" s="11">
        <v>538754465</v>
      </c>
      <c r="E23" s="11" t="s">
        <v>172</v>
      </c>
      <c r="F23" s="11" t="s">
        <v>173</v>
      </c>
      <c r="G23" s="11" t="s">
        <v>105</v>
      </c>
      <c r="H23" s="11" t="s">
        <v>81</v>
      </c>
      <c r="I23" s="11" t="s">
        <v>169</v>
      </c>
      <c r="J23" s="11" t="s">
        <v>169</v>
      </c>
      <c r="K23" s="11" t="s">
        <v>169</v>
      </c>
      <c r="L23" s="11" t="s">
        <v>84</v>
      </c>
      <c r="M23" s="11" t="s">
        <v>170</v>
      </c>
      <c r="N23" s="11" t="s">
        <v>86</v>
      </c>
      <c r="O23" s="11" t="s">
        <v>86</v>
      </c>
      <c r="P23" s="11">
        <v>0</v>
      </c>
      <c r="Q23" s="11">
        <v>2565</v>
      </c>
      <c r="R23" s="11">
        <v>7513</v>
      </c>
      <c r="S23" s="11">
        <v>0</v>
      </c>
      <c r="T23" s="11" t="s">
        <v>232</v>
      </c>
    </row>
    <row r="24" spans="1:20" s="11" customFormat="1" x14ac:dyDescent="0.3">
      <c r="A24" s="11" t="s">
        <v>174</v>
      </c>
      <c r="B24" s="11">
        <v>422</v>
      </c>
      <c r="C24" s="11">
        <v>-7918819316</v>
      </c>
      <c r="D24" s="11">
        <v>52997795</v>
      </c>
      <c r="E24" s="11" t="s">
        <v>175</v>
      </c>
      <c r="F24" s="11" t="s">
        <v>176</v>
      </c>
      <c r="G24" s="11" t="s">
        <v>177</v>
      </c>
      <c r="H24" s="11" t="s">
        <v>81</v>
      </c>
      <c r="I24" s="11" t="s">
        <v>169</v>
      </c>
      <c r="J24" s="11" t="s">
        <v>169</v>
      </c>
      <c r="K24" s="11" t="s">
        <v>169</v>
      </c>
      <c r="L24" s="11" t="s">
        <v>84</v>
      </c>
      <c r="M24" s="11" t="s">
        <v>170</v>
      </c>
      <c r="N24" s="11" t="s">
        <v>86</v>
      </c>
      <c r="O24" s="11" t="s">
        <v>86</v>
      </c>
      <c r="P24" s="11">
        <v>0</v>
      </c>
      <c r="Q24" s="11">
        <v>1795</v>
      </c>
      <c r="R24" s="11">
        <v>8532</v>
      </c>
      <c r="S24" s="11">
        <v>0</v>
      </c>
      <c r="T24" s="11" t="s">
        <v>232</v>
      </c>
    </row>
    <row r="25" spans="1:20" s="11" customFormat="1" x14ac:dyDescent="0.3">
      <c r="A25" s="11" t="s">
        <v>178</v>
      </c>
      <c r="B25" s="11">
        <v>346</v>
      </c>
      <c r="C25" s="11">
        <v>-7921397678</v>
      </c>
      <c r="D25" s="11">
        <v>484979065</v>
      </c>
      <c r="E25" s="11" t="s">
        <v>179</v>
      </c>
      <c r="F25" s="11" t="s">
        <v>180</v>
      </c>
      <c r="G25" s="11" t="s">
        <v>181</v>
      </c>
      <c r="H25" s="11" t="s">
        <v>81</v>
      </c>
      <c r="I25" s="11" t="s">
        <v>169</v>
      </c>
      <c r="J25" s="11" t="s">
        <v>169</v>
      </c>
      <c r="K25" s="11" t="s">
        <v>169</v>
      </c>
      <c r="L25" s="11" t="s">
        <v>84</v>
      </c>
      <c r="M25" s="11" t="s">
        <v>170</v>
      </c>
      <c r="N25" s="11" t="s">
        <v>86</v>
      </c>
      <c r="O25" s="11" t="s">
        <v>86</v>
      </c>
      <c r="P25" s="11">
        <v>0</v>
      </c>
      <c r="Q25" s="11">
        <v>1297</v>
      </c>
      <c r="R25" s="11">
        <v>7513</v>
      </c>
      <c r="S25" s="11">
        <v>0</v>
      </c>
      <c r="T25" s="11" t="s">
        <v>232</v>
      </c>
    </row>
    <row r="26" spans="1:20" s="11" customFormat="1" x14ac:dyDescent="0.3">
      <c r="A26" s="11" t="s">
        <v>182</v>
      </c>
      <c r="B26" s="11">
        <v>359</v>
      </c>
      <c r="C26" s="11">
        <v>-7919773896</v>
      </c>
      <c r="D26" s="11">
        <v>474367524</v>
      </c>
      <c r="E26" s="11" t="s">
        <v>183</v>
      </c>
      <c r="F26" s="11" t="s">
        <v>184</v>
      </c>
      <c r="G26" s="11" t="s">
        <v>185</v>
      </c>
      <c r="H26" s="11" t="s">
        <v>81</v>
      </c>
      <c r="I26" s="11" t="s">
        <v>169</v>
      </c>
      <c r="J26" s="11" t="s">
        <v>169</v>
      </c>
      <c r="K26" s="11" t="s">
        <v>169</v>
      </c>
      <c r="L26" s="11" t="s">
        <v>84</v>
      </c>
      <c r="M26" s="11" t="s">
        <v>170</v>
      </c>
      <c r="N26" s="11" t="s">
        <v>86</v>
      </c>
      <c r="O26" s="11" t="s">
        <v>86</v>
      </c>
      <c r="P26" s="11">
        <v>0</v>
      </c>
      <c r="Q26" s="11">
        <v>3161</v>
      </c>
      <c r="R26" s="11">
        <v>9391</v>
      </c>
      <c r="S26" s="11">
        <v>0</v>
      </c>
      <c r="T26" s="11" t="s">
        <v>232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DDF3-4D80-4B80-9CEB-1B92C80F94B4}">
  <dimension ref="A1:B16"/>
  <sheetViews>
    <sheetView workbookViewId="0">
      <selection activeCell="D14" sqref="D14"/>
    </sheetView>
  </sheetViews>
  <sheetFormatPr baseColWidth="10" defaultRowHeight="14.4" x14ac:dyDescent="0.3"/>
  <sheetData>
    <row r="1" spans="1:2" x14ac:dyDescent="0.3">
      <c r="A1" t="s">
        <v>674</v>
      </c>
    </row>
    <row r="2" spans="1:2" x14ac:dyDescent="0.3">
      <c r="A2" t="s">
        <v>678</v>
      </c>
    </row>
    <row r="4" spans="1:2" x14ac:dyDescent="0.3">
      <c r="A4" s="1" t="s">
        <v>206</v>
      </c>
      <c r="B4" t="s">
        <v>675</v>
      </c>
    </row>
    <row r="5" spans="1:2" x14ac:dyDescent="0.3">
      <c r="A5" s="1" t="s">
        <v>207</v>
      </c>
      <c r="B5" t="s">
        <v>676</v>
      </c>
    </row>
    <row r="6" spans="1:2" x14ac:dyDescent="0.3">
      <c r="A6" s="1" t="s">
        <v>213</v>
      </c>
      <c r="B6" t="s">
        <v>677</v>
      </c>
    </row>
    <row r="7" spans="1:2" ht="15.6" x14ac:dyDescent="0.35">
      <c r="A7" t="s">
        <v>6</v>
      </c>
      <c r="B7" t="s">
        <v>684</v>
      </c>
    </row>
    <row r="8" spans="1:2" ht="15.6" x14ac:dyDescent="0.35">
      <c r="A8" t="s">
        <v>7</v>
      </c>
      <c r="B8" t="s">
        <v>683</v>
      </c>
    </row>
    <row r="9" spans="1:2" ht="15.6" x14ac:dyDescent="0.35">
      <c r="A9" t="s">
        <v>8</v>
      </c>
      <c r="B9" t="s">
        <v>682</v>
      </c>
    </row>
    <row r="10" spans="1:2" ht="15.6" x14ac:dyDescent="0.35">
      <c r="A10" t="s">
        <v>9</v>
      </c>
      <c r="B10" t="s">
        <v>680</v>
      </c>
    </row>
    <row r="11" spans="1:2" ht="15.6" x14ac:dyDescent="0.35">
      <c r="A11" t="s">
        <v>10</v>
      </c>
      <c r="B11" t="s">
        <v>679</v>
      </c>
    </row>
    <row r="12" spans="1:2" ht="15.6" x14ac:dyDescent="0.35">
      <c r="A12" t="s">
        <v>11</v>
      </c>
      <c r="B12" t="s">
        <v>685</v>
      </c>
    </row>
    <row r="13" spans="1:2" ht="16.2" x14ac:dyDescent="0.3">
      <c r="A13" t="s">
        <v>17</v>
      </c>
      <c r="B13" t="s">
        <v>686</v>
      </c>
    </row>
    <row r="14" spans="1:2" ht="16.2" x14ac:dyDescent="0.3">
      <c r="A14" t="s">
        <v>18</v>
      </c>
      <c r="B14" t="s">
        <v>686</v>
      </c>
    </row>
    <row r="16" spans="1:2" x14ac:dyDescent="0.3">
      <c r="A16" t="s">
        <v>681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AB4F12-9D4F-43D8-90C7-77174DAF71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23</vt:i4>
      </vt:variant>
    </vt:vector>
  </HeadingPairs>
  <TitlesOfParts>
    <vt:vector size="27" baseType="lpstr">
      <vt:lpstr>LSA_master</vt:lpstr>
      <vt:lpstr>reference_data</vt:lpstr>
      <vt:lpstr>Plot_list</vt:lpstr>
      <vt:lpstr>supplementary_info</vt:lpstr>
      <vt:lpstr>LSA_master!CoeffNmolC</vt:lpstr>
      <vt:lpstr>LSA_master!CoeffNmolL</vt:lpstr>
      <vt:lpstr>LSA_master!CoeffNmolQ</vt:lpstr>
      <vt:lpstr>LSA_master!CoeffUgC</vt:lpstr>
      <vt:lpstr>LSA_master!CoeffUgL</vt:lpstr>
      <vt:lpstr>LSA_master!CoeffUgQ</vt:lpstr>
      <vt:lpstr>reference_data!Offset310</vt:lpstr>
      <vt:lpstr>reference_data!Offset365</vt:lpstr>
      <vt:lpstr>reference_data!Offset450</vt:lpstr>
      <vt:lpstr>reference_data!Offset530</vt:lpstr>
      <vt:lpstr>reference_data!Offset615</vt:lpstr>
      <vt:lpstr>LSA_master!Offset770</vt:lpstr>
      <vt:lpstr>LSA_master!Reference770</vt:lpstr>
      <vt:lpstr>LSA_master!StandardF310</vt:lpstr>
      <vt:lpstr>LSA_master!StandardF365</vt:lpstr>
      <vt:lpstr>LSA_master!StandardF450</vt:lpstr>
      <vt:lpstr>LSA_master!StandardF530</vt:lpstr>
      <vt:lpstr>LSA_master!StandardF615</vt:lpstr>
      <vt:lpstr>reference_data!StandardI310</vt:lpstr>
      <vt:lpstr>reference_data!StandardI365</vt:lpstr>
      <vt:lpstr>reference_data!StandardI450</vt:lpstr>
      <vt:lpstr>reference_data!StandardI530</vt:lpstr>
      <vt:lpstr>reference_data!StandardI615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 Gressmann</dc:creator>
  <cp:lastModifiedBy>Hanna Gressmann2018</cp:lastModifiedBy>
  <dcterms:created xsi:type="dcterms:W3CDTF">2015-06-05T18:19:34Z</dcterms:created>
  <dcterms:modified xsi:type="dcterms:W3CDTF">2026-08-22T11:23:21Z</dcterms:modified>
</cp:coreProperties>
</file>